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Projects\Full Stack AI Dashboard\Session 4\backend\data\"/>
    </mc:Choice>
  </mc:AlternateContent>
  <xr:revisionPtr revIDLastSave="0" documentId="13_ncr:1_{DC5E899B-6C11-4D5A-A98D-2510F7197856}" xr6:coauthVersionLast="47" xr6:coauthVersionMax="47" xr10:uidLastSave="{00000000-0000-0000-0000-000000000000}"/>
  <bookViews>
    <workbookView xWindow="-120" yWindow="-120" windowWidth="38640" windowHeight="21120" activeTab="1" xr2:uid="{14C144DF-D3B0-4075-B017-AE23D32D846A}"/>
  </bookViews>
  <sheets>
    <sheet name="Dashboard" sheetId="3" r:id="rId1"/>
    <sheet name="Project Data" sheetId="1" r:id="rId2"/>
    <sheet name="Supplier Data" sheetId="4" r:id="rId3"/>
    <sheet name="Support" sheetId="2" r:id="rId4"/>
  </sheets>
  <definedNames>
    <definedName name="_xlnm.Print_Area" localSheetId="0">Dashboard!$A$1:$G$140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<sst xmlns="http://schemas.openxmlformats.org/spreadsheetml/2006/main" count="131" uniqueCount="45">
  <si>
    <t>SL NO</t>
  </si>
  <si>
    <t>Project Name</t>
  </si>
  <si>
    <t>Stock Value</t>
  </si>
  <si>
    <t>&lt;90 Days</t>
  </si>
  <si>
    <t>&gt;90 Days</t>
  </si>
  <si>
    <t>&gt;180 Days</t>
  </si>
  <si>
    <t>&gt;365 Days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</si>
  <si>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</si>
  <si>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</si>
  <si>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</si>
  <si>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</si>
  <si>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</si>
  <si>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</si>
  <si>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</si>
  <si>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</si>
  <si>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</si>
  <si>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</si>
  <si>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</si>
  <si>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</si>
  <si>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</si>
  <si>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</si>
  <si>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Grand Total</t>
  </si>
  <si>
    <t xml:space="preserve"> Stock Value</t>
  </si>
  <si>
    <t xml:space="preserve"> &lt;90 Days</t>
  </si>
  <si>
    <t xml:space="preserve"> &gt;90 Days</t>
  </si>
  <si>
    <t xml:space="preserve"> &gt;180 Days</t>
  </si>
  <si>
    <t xml:space="preserve"> &gt;365 Days</t>
  </si>
  <si>
    <t>Values</t>
  </si>
  <si>
    <t>Total Stock Value</t>
  </si>
  <si>
    <t>Supplier Name</t>
  </si>
  <si>
    <t>Sup-1</t>
  </si>
  <si>
    <t>Sup-2</t>
  </si>
  <si>
    <t>Sup-3</t>
  </si>
  <si>
    <t>Sup-4</t>
  </si>
  <si>
    <t>Sup-5</t>
  </si>
  <si>
    <t>Sup-6</t>
  </si>
  <si>
    <t>Sup-7</t>
  </si>
  <si>
    <t>Sup-8</t>
  </si>
  <si>
    <t>Sup-9</t>
  </si>
  <si>
    <t>Sup-10</t>
  </si>
  <si>
    <t>Sup-11</t>
  </si>
  <si>
    <t>Sup-12</t>
  </si>
  <si>
    <t>Sup-13</t>
  </si>
  <si>
    <t>Sup-14</t>
  </si>
  <si>
    <t xml:space="preserve">  Stock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</si>
</sst>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>
    <font>
      <sz val="11"/>
      <color theme="1"/>
      <name val="Aptos Narrow"/>
      <family val="2"/>
      <scheme val="minor"/>
    </font>
    <font>
      <sz val="9"/>
      <color indexed="8"/>
      <name val="Aptos Narrow"/>
      <family val="2"/>
      <scheme val="minor"/>
    </font>
    <font>
      <sz val="9"/>
      <color indexed="8"/>
      <name val="Aptos Narrow"/>
      <family val="2"/>
    </font>
    <font>
      <b/>
      <sz val="10"/>
      <color indexed="9"/>
      <name val="Aptos Narrow"/>
      <family val="2"/>
      <scheme val="minor"/>
    </font>
    <font>
      <b/>
      <sz val="10"/>
      <color indexed="9"/>
      <name val="Aptos Narrow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F9ED5"/>
        <bgColor indexed="64"/>
      </patternFill>
    </fill>
  </fills>
  <borders count="10">
    <border>
      <left/>
      <right/>
      <top/>
      <bottom/>
      <diagonal/>
    </border>
    <border>
      <left style="thin">
        <color rgb="FF61CBF3"/>
      </left>
      <right style="thin">
        <color rgb="FF61CBF3"/>
      </right>
      <top style="thin">
        <color rgb="FF61CBF3"/>
      </top>
      <bottom style="thin">
        <color rgb="FF61CBF3"/>
      </bottom>
      <diagonal/>
    </border>
    <border>
      <left/>
      <right style="thin">
        <color rgb="FF61CBF3"/>
      </right>
      <top style="thin">
        <color rgb="FF61CBF3"/>
      </top>
      <bottom style="thin">
        <color rgb="FF61CBF3"/>
      </bottom>
      <diagonal/>
    </border>
    <border>
      <left style="thin">
        <color rgb="FF61CBF3"/>
      </left>
      <right/>
      <top style="thin">
        <color rgb="FF61CBF3"/>
      </top>
      <bottom style="thin">
        <color rgb="FF61CBF3"/>
      </bottom>
      <diagonal/>
    </border>
    <border>
      <left/>
      <right style="thin">
        <color rgb="FF61CBF3"/>
      </right>
      <top/>
      <bottom style="thin">
        <color rgb="FF61CBF3"/>
      </bottom>
      <diagonal/>
    </border>
    <border>
      <left style="thin">
        <color rgb="FF61CBF3"/>
      </left>
      <right style="thin">
        <color rgb="FF61CBF3"/>
      </right>
      <top/>
      <bottom style="thin">
        <color rgb="FF61CBF3"/>
      </bottom>
      <diagonal/>
    </border>
    <border>
      <left style="thin">
        <color rgb="FF61CBF3"/>
      </left>
      <right/>
      <top/>
      <bottom style="thin">
        <color rgb="FF61CBF3"/>
      </bottom>
      <diagonal/>
    </border>
    <border>
      <left/>
      <right style="thin">
        <color rgb="FF61CBF3"/>
      </right>
      <top style="thin">
        <color rgb="FF61CBF3"/>
      </top>
      <bottom/>
      <diagonal/>
    </border>
    <border>
      <left style="thin">
        <color rgb="FF61CBF3"/>
      </left>
      <right style="thin">
        <color rgb="FF61CBF3"/>
      </right>
      <top style="thin">
        <color rgb="FF61CBF3"/>
      </top>
      <bottom/>
      <diagonal/>
    </border>
    <border>
      <left style="thin">
        <color rgb="FF61CBF3"/>
      </left>
      <right/>
      <top style="thin">
        <color rgb="FF61CBF3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" fontId="1" fillId="0" borderId="3" xfId="0" applyNumberFormat="1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4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center" vertical="center"/>
    </xf>
    <xf numFmtId="0" fontId="0" fillId="0" borderId="0" xfId="0" pivotButton="1"/>
    <xf numFmtId="2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" fillId="0" borderId="0" xfId="0" pivotButton="1" applyFont="1"/>
    <xf numFmtId="0" fontId="6" fillId="0" borderId="0" xfId="0" applyFont="1" applyAlignment="1">
      <alignment horizontal="center"/>
    </xf>
  </cellXfs>
  <cellStyles count="1">
    <cellStyle name="Normal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/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border outline="0">
        <top style="thin">
          <color rgb="FF61CBF3"/>
        </top>
      </border>
    </dxf>
    <dxf>
      <border outline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61CBF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ptos Narrow"/>
        <family val="2"/>
        <scheme val="none"/>
      </font>
      <fill>
        <patternFill patternType="solid">
          <fgColor indexed="64"/>
          <bgColor rgb="FF0F9E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61CBF3"/>
        </left>
        <right style="thin">
          <color rgb="FF61CBF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/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border outline="0">
        <top style="thin">
          <color rgb="FF61CBF3"/>
        </top>
      </border>
    </dxf>
    <dxf>
      <border outline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61CBF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ptos Narrow"/>
        <family val="2"/>
        <scheme val="none"/>
      </font>
      <fill>
        <patternFill patternType="solid">
          <fgColor indexed="64"/>
          <bgColor rgb="FF0F9E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61CBF3"/>
        </left>
        <right style="thin">
          <color rgb="FF61CBF3"/>
        </right>
        <top/>
        <bottom/>
      </border>
    </dxf>
    <dxf>
      <font>
        <b/>
      </font>
    </dxf>
    <dxf>
      <font>
        <b/>
      </font>
    </dxf>
    <dxf>
      <alignment horizontal="center"/>
    </dxf>
    <dxf>
      <alignment horizontal="center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SlicerStyleLight1 2 2" pivot="0" table="0" count="10" xr9:uid="{EB1E891B-48A8-4B7B-9A33-8668AB8F059B}">
      <tableStyleElement type="wholeTable" dxfId="35"/>
      <tableStyleElement type="headerRow" dxfId="34"/>
    </tableStyle>
    <tableStyle name="SlicerStyleLight1 2 2 2" pivot="0" table="0" count="10" xr9:uid="{992FB9E9-DE1C-4FB8-8644-F442B899DE6D}">
      <tableStyleElement type="wholeTable" dxfId="33"/>
      <tableStyleElement type="headerRow" dxfId="32"/>
    </tableStyle>
    <tableStyle name="SlicerStyleLight1 2 2 3" pivot="0" table="0" count="10" xr9:uid="{746855B0-BC8D-4168-ACCD-C1A89DE67A05}">
      <tableStyleElement type="wholeTable" dxfId="31"/>
      <tableStyleElement type="headerRow" dxfId="30"/>
    </tableStyle>
    <tableStyle name="SlicerStyleLight1 2 2 4" pivot="0" table="0" count="10" xr9:uid="{60346657-E315-491C-90BE-60AB7290BD5D}">
      <tableStyleElement type="wholeTable" dxfId="29"/>
      <tableStyleElement type="headerRow" dxfId="28"/>
    </tableStyle>
  </tableStyles>
  <extLst>
    <ext xmlns:x14="http://schemas.microsoft.com/office/spreadsheetml/2009/9/main" uri="{46F421CA-312F-682f-3DD2-61675219B42D}">
      <x14:dxfs count="32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7FCE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5" tint="-0.25098422193060094"/>
              </stop>
              <stop position="1">
                <color theme="5" tint="-0.4980315561387981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5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7FCE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5" tint="-0.25098422193060094"/>
              </stop>
              <stop position="1">
                <color theme="5" tint="-0.4980315561387981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5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7FCE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5" tint="-0.25098422193060094"/>
              </stop>
              <stop position="1">
                <color theme="5" tint="-0.4980315561387981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5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7FCE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5" tint="-0.25098422193060094"/>
              </stop>
              <stop position="1">
                <color theme="5" tint="-0.4980315561387981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5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1 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2 2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 4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[inventory.xlsm]Support!PivotTable1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 cap="rnd">
            <a:solidFill>
              <a:srgbClr val="E97132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rgbClr val="E9713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>
            <a:solidFill>
              <a:srgbClr val="A02B93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rgbClr val="A02B9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rgbClr val="0F6FC6">
                <a:lumMod val="75000"/>
              </a:srgbClr>
            </a:solidFill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246556339266526"/>
          <c:y val="4.4229995979091274E-2"/>
          <c:w val="0.67122858091870019"/>
          <c:h val="0.8702386266855364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Support!$Z$3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0F6FC6">
                  <a:lumMod val="75000"/>
                </a:srgbClr>
              </a:solidFill>
            </a:ln>
            <a:effectLst>
              <a:outerShdw blurRad="50800" dist="889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Support!$Y$4:$Y$14</c:f>
              <c:strCache>
                <c:ptCount val="10"/>
                <c:pt idx="0">
                  <c:v>G</c:v>
                </c:pt>
                <c:pt idx="1">
                  <c:v>H</c:v>
                </c:pt>
                <c:pt idx="2">
                  <c:v>C</c:v>
                </c:pt>
                <c:pt idx="3">
                  <c:v>B</c:v>
                </c:pt>
                <c:pt idx="4">
                  <c:v>L</c:v>
                </c:pt>
                <c:pt idx="5">
                  <c:v>A</c:v>
                </c:pt>
                <c:pt idx="6">
                  <c:v>E</c:v>
                </c:pt>
                <c:pt idx="7">
                  <c:v>F</c:v>
                </c:pt>
                <c:pt idx="8">
                  <c:v>D</c:v>
                </c:pt>
                <c:pt idx="9">
                  <c:v>M</c:v>
                </c:pt>
              </c:strCache>
            </c:strRef>
          </c:cat>
          <c:val>
            <c:numRef>
              <c:f>Support!$Z$4:$Z$14</c:f>
              <c:numCache>
                <c:formatCode>0.00</c:formatCode>
                <c:ptCount val="10"/>
                <c:pt idx="0">
                  <c:v>2.4053254E-2</c:v>
                </c:pt>
                <c:pt idx="1">
                  <c:v>3.0869184999999997E-2</c:v>
                </c:pt>
                <c:pt idx="2">
                  <c:v>3.1414640000000001E-2</c:v>
                </c:pt>
                <c:pt idx="3">
                  <c:v>9.7446077000000006E-2</c:v>
                </c:pt>
                <c:pt idx="4">
                  <c:v>0.22221566299999998</c:v>
                </c:pt>
                <c:pt idx="5">
                  <c:v>0.5</c:v>
                </c:pt>
                <c:pt idx="6">
                  <c:v>0.72368731399999997</c:v>
                </c:pt>
                <c:pt idx="7">
                  <c:v>1.4087898939999999</c:v>
                </c:pt>
                <c:pt idx="8">
                  <c:v>6.3607824090000005</c:v>
                </c:pt>
                <c:pt idx="9">
                  <c:v>6.8943668010000003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E-49AC-B9AB-D5E923518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8363567"/>
        <c:axId val="1428364047"/>
      </c:barChart>
      <c:catAx>
        <c:axId val="142836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64047"/>
        <c:crosses val="autoZero"/>
        <c:auto val="1"/>
        <c:lblAlgn val="ctr"/>
        <c:lblOffset val="100"/>
        <c:noMultiLvlLbl val="0"/>
      </c:catAx>
      <c:valAx>
        <c:axId val="1428364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6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[inventory.xlsm]Support!PivotTable2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312629234929219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496247216478448E-2"/>
              <c:y val="5.773781940803452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2.3672359630984428E-2"/>
              <c:y val="2.5194975883746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3.1563146174646096E-2"/>
              <c:y val="3.1493719854682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3.5508539446477E-2"/>
              <c:y val="-6.298743970936503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6865680598589"/>
          <c:y val="9.394373705506566E-2"/>
          <c:w val="0.75614365893793967"/>
          <c:h val="0.8148419152328753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Support!$AD$3</c:f>
              <c:strCache>
                <c:ptCount val="1"/>
                <c:pt idx="0">
                  <c:v> &lt;90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Support!$AC$4:$AC$9</c:f>
              <c:strCache>
                <c:ptCount val="5"/>
                <c:pt idx="0">
                  <c:v>A</c:v>
                </c:pt>
                <c:pt idx="1">
                  <c:v>E</c:v>
                </c:pt>
                <c:pt idx="2">
                  <c:v>F</c:v>
                </c:pt>
                <c:pt idx="3">
                  <c:v>D</c:v>
                </c:pt>
                <c:pt idx="4">
                  <c:v>M</c:v>
                </c:pt>
              </c:strCache>
            </c:strRef>
          </c:cat>
          <c:val>
            <c:numRef>
              <c:f>Support!$AD$4:$AD$9</c:f>
              <c:numCache>
                <c:formatCode>#,##0.00</c:formatCode>
                <c:ptCount val="5"/>
                <c:pt idx="0">
                  <c:v>0.15</c:v>
                </c:pt>
                <c:pt idx="1">
                  <c:v>0.23727719999999999</c:v>
                </c:pt>
                <c:pt idx="2">
                  <c:v>1.0900628000000001</c:v>
                </c:pt>
                <c:pt idx="3">
                  <c:v>3.9</c:v>
                </c:pt>
                <c:pt idx="4">
                  <c:v>5.3230683000000001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2-487C-8DC4-4E654C8E710F}"/>
            </c:ext>
          </c:extLst>
        </c:ser>
        <c:ser>
          <c:idx val="1"/>
          <c:order val="1"/>
          <c:tx>
            <c:strRef>
              <c:f>Support!$AE$3</c:f>
              <c:strCache>
                <c:ptCount val="1"/>
                <c:pt idx="0">
                  <c:v> &gt;90 Days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A8-4F87-93EE-277CB9B3DC9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6A8-4F87-93EE-277CB9B3DC95}"/>
              </c:ext>
            </c:extLst>
          </c:dPt>
          <c:dLbls>
            <c:dLbl>
              <c:idx val="2"/>
              <c:layout>
                <c:manualLayout>
                  <c:x val="-7.496247216478448E-2"/>
                  <c:y val="5.7737819408034525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A8-4F87-93EE-277CB9B3DC95}"/>
                </c:ext>
              </c:extLst>
            </c:dLbl>
            <c:dLbl>
              <c:idx val="4"/>
              <c:layout>
                <c:manualLayout>
                  <c:x val="-3.5508539446477E-2"/>
                  <c:y val="-6.298743970936503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A8-4F87-93EE-277CB9B3D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Support!$AC$4:$AC$9</c:f>
              <c:strCache>
                <c:ptCount val="5"/>
                <c:pt idx="0">
                  <c:v>A</c:v>
                </c:pt>
                <c:pt idx="1">
                  <c:v>E</c:v>
                </c:pt>
                <c:pt idx="2">
                  <c:v>F</c:v>
                </c:pt>
                <c:pt idx="3">
                  <c:v>D</c:v>
                </c:pt>
                <c:pt idx="4">
                  <c:v>M</c:v>
                </c:pt>
              </c:strCache>
            </c:strRef>
          </c:cat>
          <c:val>
            <c:numRef>
              <c:f>Support!$AE$4:$AE$9</c:f>
              <c:numCache>
                <c:formatCode>#,##0.00</c:formatCode>
                <c:ptCount val="5"/>
                <c:pt idx="0">
                  <c:v>1.1067E-2</c:v>
                </c:pt>
                <c:pt idx="1">
                  <c:v>9.1181100000000001E-2</c:v>
                </c:pt>
                <c:pt idx="2">
                  <c:v>3.76446E-2</c:v>
                </c:pt>
                <c:pt idx="3">
                  <c:v>1.0189693</c:v>
                </c:pt>
                <c:pt idx="4">
                  <c:v>0.56723679999999999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2-487C-8DC4-4E654C8E710F}"/>
            </c:ext>
          </c:extLst>
        </c:ser>
        <c:ser>
          <c:idx val="2"/>
          <c:order val="2"/>
          <c:tx>
            <c:strRef>
              <c:f>Support!$AF$3</c:f>
              <c:strCache>
                <c:ptCount val="1"/>
                <c:pt idx="0">
                  <c:v> &gt;180 Days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E6A8-4F87-93EE-277CB9B3DC95}"/>
              </c:ext>
            </c:extLst>
          </c:dPt>
          <c:dLbls>
            <c:dLbl>
              <c:idx val="0"/>
              <c:layout>
                <c:manualLayout>
                  <c:x val="6.3126292349292193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A8-4F87-93EE-277CB9B3D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Support!$AC$4:$AC$9</c:f>
              <c:strCache>
                <c:ptCount val="5"/>
                <c:pt idx="0">
                  <c:v>A</c:v>
                </c:pt>
                <c:pt idx="1">
                  <c:v>E</c:v>
                </c:pt>
                <c:pt idx="2">
                  <c:v>F</c:v>
                </c:pt>
                <c:pt idx="3">
                  <c:v>D</c:v>
                </c:pt>
                <c:pt idx="4">
                  <c:v>M</c:v>
                </c:pt>
              </c:strCache>
            </c:strRef>
          </c:cat>
          <c:val>
            <c:numRef>
              <c:f>Support!$AF$4:$AF$9</c:f>
              <c:numCache>
                <c:formatCode>#,##0.00</c:formatCode>
                <c:ptCount val="5"/>
                <c:pt idx="0">
                  <c:v>4.6115299999999998E-2</c:v>
                </c:pt>
                <c:pt idx="1">
                  <c:v>7.7277600000000002E-2</c:v>
                </c:pt>
                <c:pt idx="2">
                  <c:v>0.14646400000000001</c:v>
                </c:pt>
                <c:pt idx="3">
                  <c:v>0.30863550000000001</c:v>
                </c:pt>
                <c:pt idx="4">
                  <c:v>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82-487C-8DC4-4E654C8E710F}"/>
            </c:ext>
          </c:extLst>
        </c:ser>
        <c:ser>
          <c:idx val="3"/>
          <c:order val="3"/>
          <c:tx>
            <c:strRef>
              <c:f>Support!$AG$3</c:f>
              <c:strCache>
                <c:ptCount val="1"/>
                <c:pt idx="0">
                  <c:v> &gt;365 Days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6A8-4F87-93EE-277CB9B3DC9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A8-4F87-93EE-277CB9B3DC95}"/>
              </c:ext>
            </c:extLst>
          </c:dPt>
          <c:dLbls>
            <c:dLbl>
              <c:idx val="3"/>
              <c:layout>
                <c:manualLayout>
                  <c:x val="2.3672359630984428E-2"/>
                  <c:y val="2.519497588374601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A8-4F87-93EE-277CB9B3DC95}"/>
                </c:ext>
              </c:extLst>
            </c:dLbl>
            <c:dLbl>
              <c:idx val="4"/>
              <c:layout>
                <c:manualLayout>
                  <c:x val="3.1563146174646096E-2"/>
                  <c:y val="3.14937198546825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A8-4F87-93EE-277CB9B3D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Support!$AC$4:$AC$9</c:f>
              <c:strCache>
                <c:ptCount val="5"/>
                <c:pt idx="0">
                  <c:v>A</c:v>
                </c:pt>
                <c:pt idx="1">
                  <c:v>E</c:v>
                </c:pt>
                <c:pt idx="2">
                  <c:v>F</c:v>
                </c:pt>
                <c:pt idx="3">
                  <c:v>D</c:v>
                </c:pt>
                <c:pt idx="4">
                  <c:v>M</c:v>
                </c:pt>
              </c:strCache>
            </c:strRef>
          </c:cat>
          <c:val>
            <c:numRef>
              <c:f>Support!$AG$4:$AG$9</c:f>
              <c:numCache>
                <c:formatCode>#,##0.00</c:formatCode>
                <c:ptCount val="5"/>
                <c:pt idx="0">
                  <c:v>0.2972475</c:v>
                </c:pt>
                <c:pt idx="1">
                  <c:v>0.26</c:v>
                </c:pt>
                <c:pt idx="2">
                  <c:v>0.1346183</c:v>
                </c:pt>
                <c:pt idx="3">
                  <c:v>0.12974450000000001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82-487C-8DC4-4E654C8E7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100"/>
        <c:axId val="1553910864"/>
        <c:axId val="1553908944"/>
      </c:barChart>
      <c:catAx>
        <c:axId val="1553910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08944"/>
        <c:crosses val="autoZero"/>
        <c:auto val="1"/>
        <c:lblAlgn val="ctr"/>
        <c:lblOffset val="100"/>
        <c:noMultiLvlLbl val="0"/>
      </c:catAx>
      <c:valAx>
        <c:axId val="155390894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1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[inventory.xlsm]Support!PivotTable3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660066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66006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EEC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20935314120219"/>
              <c:y val="-0.17329097493345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0925337632079971E-17"/>
              <c:y val="-0.12500000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0925337632079971E-17"/>
              <c:y val="-0.12500000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F6FC6">
              <a:lumMod val="5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0339398287830843"/>
              <c:y val="1.14452288291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0F6F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564862511344961"/>
              <c:y val="0.271472531450810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0F6FC6">
              <a:lumMod val="40000"/>
              <a:lumOff val="6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290768268452424"/>
              <c:y val="2.26694723504388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009DD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4639927821522309"/>
              <c:y val="3.78352490421455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0F6FC6">
              <a:lumMod val="5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0339398287830843"/>
              <c:y val="1.14452288291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0F6F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564862511344961"/>
              <c:y val="0.271472531450810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F6FC6">
              <a:lumMod val="40000"/>
              <a:lumOff val="6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290768268452424"/>
              <c:y val="2.26694723504388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09DD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4639927821522309"/>
              <c:y val="3.78352490421455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0F6FC6">
              <a:lumMod val="5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0339398287830843"/>
              <c:y val="1.14452288291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F6F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564862511344961"/>
              <c:y val="0.271472531450810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F6FC6">
              <a:lumMod val="40000"/>
              <a:lumOff val="6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290768268452424"/>
              <c:y val="2.26694723504388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009DD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4639927821522309"/>
              <c:y val="3.78352490421455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7659871955257929"/>
          <c:y val="8.6206896551724144E-2"/>
          <c:w val="0.34930151838496826"/>
          <c:h val="0.85920143602739307"/>
        </c:manualLayout>
      </c:layout>
      <c:doughnutChart>
        <c:varyColors val="1"/>
        <c:ser>
          <c:idx val="0"/>
          <c:order val="0"/>
          <c:tx>
            <c:strRef>
              <c:f>Support!$AU$3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B43B"/>
            </a:solidFill>
          </c:spPr>
          <c:dPt>
            <c:idx val="0"/>
            <c:bubble3D val="0"/>
            <c:spPr>
              <a:solidFill>
                <a:srgbClr val="0F6FC6">
                  <a:lumMod val="5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DF-48C9-AF93-907219C115C6}"/>
              </c:ext>
            </c:extLst>
          </c:dPt>
          <c:dPt>
            <c:idx val="1"/>
            <c:bubble3D val="0"/>
            <c:spPr>
              <a:solidFill>
                <a:srgbClr val="0F6FC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FDF-48C9-AF93-907219C115C6}"/>
              </c:ext>
            </c:extLst>
          </c:dPt>
          <c:dPt>
            <c:idx val="2"/>
            <c:bubble3D val="0"/>
            <c:spPr>
              <a:solidFill>
                <a:srgbClr val="0F6FC6">
                  <a:lumMod val="40000"/>
                  <a:lumOff val="6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FDF-48C9-AF93-907219C115C6}"/>
              </c:ext>
            </c:extLst>
          </c:dPt>
          <c:dPt>
            <c:idx val="3"/>
            <c:bubble3D val="0"/>
            <c:spPr>
              <a:solidFill>
                <a:srgbClr val="009D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FDF-48C9-AF93-907219C115C6}"/>
              </c:ext>
            </c:extLst>
          </c:dPt>
          <c:dLbls>
            <c:dLbl>
              <c:idx val="0"/>
              <c:layout>
                <c:manualLayout>
                  <c:x val="0.20339398287830843"/>
                  <c:y val="1.1445228829154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DF-48C9-AF93-907219C115C6}"/>
                </c:ext>
              </c:extLst>
            </c:dLbl>
            <c:dLbl>
              <c:idx val="1"/>
              <c:layout>
                <c:manualLayout>
                  <c:x val="-0.23564862511344961"/>
                  <c:y val="0.2714725314508100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F-48C9-AF93-907219C115C6}"/>
                </c:ext>
              </c:extLst>
            </c:dLbl>
            <c:dLbl>
              <c:idx val="2"/>
              <c:layout>
                <c:manualLayout>
                  <c:x val="-0.25290768268452424"/>
                  <c:y val="2.266947235043886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DF-48C9-AF93-907219C115C6}"/>
                </c:ext>
              </c:extLst>
            </c:dLbl>
            <c:dLbl>
              <c:idx val="3"/>
              <c:layout>
                <c:manualLayout>
                  <c:x val="0.34639927821522309"/>
                  <c:y val="3.783524904214559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F-48C9-AF93-907219C115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Support!$AT$4:$AT$7</c:f>
              <c:strCache>
                <c:ptCount val="4"/>
                <c:pt idx="0">
                  <c:v> &lt;90 Days</c:v>
                </c:pt>
                <c:pt idx="1">
                  <c:v> &gt;365 Days</c:v>
                </c:pt>
                <c:pt idx="2">
                  <c:v> &gt;180 Days</c:v>
                </c:pt>
                <c:pt idx="3">
                  <c:v> &gt;90 Days</c:v>
                </c:pt>
              </c:strCache>
            </c:strRef>
          </c:cat>
          <c:val>
            <c:numRef>
              <c:f>Support!$AU$4:$AU$7</c:f>
              <c:numCache>
                <c:formatCode>#,##0.00</c:formatCode>
                <c:ptCount val="4"/>
                <c:pt idx="0">
                  <c:v>10.7768561</c:v>
                </c:pt>
                <c:pt idx="1">
                  <c:v>1.236311401</c:v>
                </c:pt>
                <c:pt idx="2">
                  <c:v>1.0831607000000001</c:v>
                </c:pt>
                <c:pt idx="3">
                  <c:v>1.8472202999999996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DF-48C9-AF93-907219C115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[inventory.xlsm]Support!PivotTable9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57BFF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D57BFF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92D050">
                  <a:shade val="30000"/>
                  <a:satMod val="115000"/>
                </a:srgbClr>
              </a:gs>
              <a:gs pos="50000">
                <a:srgbClr val="92D050">
                  <a:shade val="67500"/>
                  <a:satMod val="115000"/>
                </a:srgbClr>
              </a:gs>
              <a:gs pos="100000">
                <a:srgbClr val="92D050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8166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9F80B3">
                  <a:shade val="30000"/>
                  <a:satMod val="115000"/>
                </a:srgbClr>
              </a:gs>
              <a:gs pos="50000">
                <a:srgbClr val="9F80B3">
                  <a:shade val="67500"/>
                  <a:satMod val="115000"/>
                </a:srgbClr>
              </a:gs>
              <a:gs pos="100000">
                <a:srgbClr val="9F80B3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  <a:scene3d>
            <a:camera prst="orthographicFront"/>
            <a:lightRig rig="threePt" dir="t"/>
          </a:scene3d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17406D">
                  <a:lumMod val="60000"/>
                  <a:lumOff val="40000"/>
                  <a:shade val="30000"/>
                  <a:satMod val="115000"/>
                </a:srgbClr>
              </a:gs>
              <a:gs pos="50000">
                <a:srgbClr val="17406D">
                  <a:lumMod val="60000"/>
                  <a:lumOff val="40000"/>
                  <a:shade val="67500"/>
                  <a:satMod val="115000"/>
                </a:srgbClr>
              </a:gs>
              <a:gs pos="100000">
                <a:srgbClr val="17406D">
                  <a:lumMod val="60000"/>
                  <a:lumOff val="40000"/>
                  <a:shade val="100000"/>
                  <a:satMod val="115000"/>
                </a:srgbClr>
              </a:gs>
            </a:gsLst>
            <a:lin ang="0" scaled="1"/>
            <a:tileRect/>
          </a:gradFill>
          <a:ln>
            <a:noFill/>
          </a:ln>
          <a:effectLst/>
          <a:scene3d>
            <a:camera prst="orthographicFront"/>
            <a:lightRig rig="threePt" dir="t"/>
          </a:scene3d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88794257860622"/>
          <c:y val="3.632298321200416E-2"/>
          <c:w val="0.79014649954469973"/>
          <c:h val="0.9614222750458079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Support!$BP$3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17406D">
                    <a:lumMod val="60000"/>
                    <a:lumOff val="40000"/>
                    <a:shade val="30000"/>
                    <a:satMod val="115000"/>
                  </a:srgbClr>
                </a:gs>
                <a:gs pos="50000">
                  <a:srgbClr val="17406D">
                    <a:lumMod val="60000"/>
                    <a:lumOff val="40000"/>
                    <a:shade val="67500"/>
                    <a:satMod val="115000"/>
                  </a:srgbClr>
                </a:gs>
                <a:gs pos="100000">
                  <a:srgbClr val="17406D">
                    <a:lumMod val="60000"/>
                    <a:lumOff val="40000"/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Support!$BO$4:$BO$14</c:f>
              <c:strCache>
                <c:ptCount val="10"/>
                <c:pt idx="0">
                  <c:v>Sup-1</c:v>
                </c:pt>
                <c:pt idx="1">
                  <c:v>Sup-10</c:v>
                </c:pt>
                <c:pt idx="2">
                  <c:v>Sup-11</c:v>
                </c:pt>
                <c:pt idx="3">
                  <c:v>Sup-14</c:v>
                </c:pt>
                <c:pt idx="4">
                  <c:v>Sup-2</c:v>
                </c:pt>
                <c:pt idx="5">
                  <c:v>Sup-3</c:v>
                </c:pt>
                <c:pt idx="6">
                  <c:v>Sup-5</c:v>
                </c:pt>
                <c:pt idx="7">
                  <c:v>Sup-6</c:v>
                </c:pt>
                <c:pt idx="8">
                  <c:v>Sup-7</c:v>
                </c:pt>
                <c:pt idx="9">
                  <c:v>Sup-8</c:v>
                </c:pt>
              </c:strCache>
            </c:strRef>
          </c:cat>
          <c:val>
            <c:numRef>
              <c:f>Support!$BP$4:$BP$14</c:f>
              <c:numCache>
                <c:formatCode>0.00</c:formatCode>
                <c:ptCount val="10"/>
                <c:pt idx="0">
                  <c:v>5.4</c:v>
                </c:pt>
                <c:pt idx="1">
                  <c:v>5.81</c:v>
                </c:pt>
                <c:pt idx="2">
                  <c:v>5.3100000000000005</c:v>
                </c:pt>
                <c:pt idx="3">
                  <c:v>5.7200000000000006</c:v>
                </c:pt>
                <c:pt idx="4">
                  <c:v>5.93</c:v>
                </c:pt>
                <c:pt idx="5">
                  <c:v>4.96</c:v>
                </c:pt>
                <c:pt idx="6">
                  <c:v>4.42</c:v>
                </c:pt>
                <c:pt idx="7">
                  <c:v>5.9499999999999993</c:v>
                </c:pt>
                <c:pt idx="8">
                  <c:v>5.14</c:v>
                </c:pt>
                <c:pt idx="9">
                  <c:v>6.04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0-4B55-B6B6-4931DF895A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282050975"/>
        <c:axId val="1282060095"/>
      </c:barChart>
      <c:catAx>
        <c:axId val="1282050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17406D">
                <a:lumMod val="60000"/>
                <a:lumOff val="40000"/>
              </a:srgbClr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060095"/>
        <c:crosses val="autoZero"/>
        <c:auto val="1"/>
        <c:lblAlgn val="ctr"/>
        <c:lblOffset val="100"/>
        <c:noMultiLvlLbl val="0"/>
      </c:catAx>
      <c:valAx>
        <c:axId val="1282060095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282050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[inventory.xlsm]Support!PivotTable10</c:name>
    <c:fmtId val="1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312629234929219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496247216478448E-2"/>
              <c:y val="5.773781940803452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2.3672359630984428E-2"/>
              <c:y val="2.5194975883746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3.1563146174646096E-2"/>
              <c:y val="3.1493719854682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3.5508539446477E-2"/>
              <c:y val="-6.298743970936503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496247216478448E-2"/>
              <c:y val="5.773781940803452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3.5508539446477E-2"/>
              <c:y val="-6.298743970936503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312629234929219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2.3672359630984428E-2"/>
              <c:y val="2.5194975883746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3.1563146174646096E-2"/>
              <c:y val="3.1493719854682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496247216478448E-2"/>
              <c:y val="5.773781940803452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3.5508539446477E-2"/>
              <c:y val="-6.298743970936503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312629234929219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2.3672359630984428E-2"/>
              <c:y val="2.5194975883746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3.1563146174646096E-2"/>
              <c:y val="3.1493719854682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2"/>
          </a:solidFill>
          <a:ln>
            <a:noFill/>
          </a:ln>
          <a:effectLst/>
        </c:spPr>
      </c:pivotFmt>
      <c:pivotFmt>
        <c:idx val="56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15495005570347"/>
          <c:y val="9.394373705506566E-2"/>
          <c:w val="0.73216293107246488"/>
          <c:h val="0.85724250222146892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Support!$BV$3</c:f>
              <c:strCache>
                <c:ptCount val="1"/>
                <c:pt idx="0">
                  <c:v> &lt;90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Support!$BU$4:$BU$9</c:f>
              <c:strCache>
                <c:ptCount val="5"/>
                <c:pt idx="0">
                  <c:v>Sup-6</c:v>
                </c:pt>
                <c:pt idx="1">
                  <c:v>Sup-11</c:v>
                </c:pt>
                <c:pt idx="2">
                  <c:v>Sup-2</c:v>
                </c:pt>
                <c:pt idx="3">
                  <c:v>Sup-8</c:v>
                </c:pt>
                <c:pt idx="4">
                  <c:v>Sup-1</c:v>
                </c:pt>
              </c:strCache>
            </c:strRef>
          </c:cat>
          <c:val>
            <c:numRef>
              <c:f>Support!$BV$4:$BV$9</c:f>
              <c:numCache>
                <c:formatCode>#,##0.00</c:formatCode>
                <c:ptCount val="5"/>
                <c:pt idx="0">
                  <c:v>1.17</c:v>
                </c:pt>
                <c:pt idx="1">
                  <c:v>1.48</c:v>
                </c:pt>
                <c:pt idx="2">
                  <c:v>1.79</c:v>
                </c:pt>
                <c:pt idx="3">
                  <c:v>1.81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D-4426-A6E2-9B5D073E9790}"/>
            </c:ext>
          </c:extLst>
        </c:ser>
        <c:ser>
          <c:idx val="1"/>
          <c:order val="1"/>
          <c:tx>
            <c:strRef>
              <c:f>Support!$BW$3</c:f>
              <c:strCache>
                <c:ptCount val="1"/>
                <c:pt idx="0">
                  <c:v> &gt;90 Days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AD-458A-9446-7844A00F851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DAD-4426-A6E2-9B5D073E97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DAD-4426-A6E2-9B5D073E97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Support!$BU$4:$BU$9</c:f>
              <c:strCache>
                <c:ptCount val="5"/>
                <c:pt idx="0">
                  <c:v>Sup-6</c:v>
                </c:pt>
                <c:pt idx="1">
                  <c:v>Sup-11</c:v>
                </c:pt>
                <c:pt idx="2">
                  <c:v>Sup-2</c:v>
                </c:pt>
                <c:pt idx="3">
                  <c:v>Sup-8</c:v>
                </c:pt>
                <c:pt idx="4">
                  <c:v>Sup-1</c:v>
                </c:pt>
              </c:strCache>
            </c:strRef>
          </c:cat>
          <c:val>
            <c:numRef>
              <c:f>Support!$BW$4:$BW$9</c:f>
              <c:numCache>
                <c:formatCode>#,##0.00</c:formatCode>
                <c:ptCount val="5"/>
                <c:pt idx="0">
                  <c:v>1.43</c:v>
                </c:pt>
                <c:pt idx="1">
                  <c:v>1.55</c:v>
                </c:pt>
                <c:pt idx="2">
                  <c:v>0.85</c:v>
                </c:pt>
                <c:pt idx="3">
                  <c:v>1.97</c:v>
                </c:pt>
                <c:pt idx="4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AD-4426-A6E2-9B5D073E9790}"/>
            </c:ext>
          </c:extLst>
        </c:ser>
        <c:ser>
          <c:idx val="2"/>
          <c:order val="2"/>
          <c:tx>
            <c:strRef>
              <c:f>Support!$BX$3</c:f>
              <c:strCache>
                <c:ptCount val="1"/>
                <c:pt idx="0">
                  <c:v> &gt;180 Days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DAD-4426-A6E2-9B5D073E97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3AD-458A-9446-7844A00F85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Support!$BU$4:$BU$9</c:f>
              <c:strCache>
                <c:ptCount val="5"/>
                <c:pt idx="0">
                  <c:v>Sup-6</c:v>
                </c:pt>
                <c:pt idx="1">
                  <c:v>Sup-11</c:v>
                </c:pt>
                <c:pt idx="2">
                  <c:v>Sup-2</c:v>
                </c:pt>
                <c:pt idx="3">
                  <c:v>Sup-8</c:v>
                </c:pt>
                <c:pt idx="4">
                  <c:v>Sup-1</c:v>
                </c:pt>
              </c:strCache>
            </c:strRef>
          </c:cat>
          <c:val>
            <c:numRef>
              <c:f>Support!$BX$4:$BX$9</c:f>
              <c:numCache>
                <c:formatCode>#,##0.00</c:formatCode>
                <c:ptCount val="5"/>
                <c:pt idx="0">
                  <c:v>1.64</c:v>
                </c:pt>
                <c:pt idx="1">
                  <c:v>1.18</c:v>
                </c:pt>
                <c:pt idx="2">
                  <c:v>1.88</c:v>
                </c:pt>
                <c:pt idx="3">
                  <c:v>1.75</c:v>
                </c:pt>
                <c:pt idx="4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AD-4426-A6E2-9B5D073E9790}"/>
            </c:ext>
          </c:extLst>
        </c:ser>
        <c:ser>
          <c:idx val="3"/>
          <c:order val="3"/>
          <c:tx>
            <c:strRef>
              <c:f>Support!$BY$3</c:f>
              <c:strCache>
                <c:ptCount val="1"/>
                <c:pt idx="0">
                  <c:v> &gt;365 Days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DAD-4426-A6E2-9B5D073E97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DAD-4426-A6E2-9B5D073E97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Support!$BU$4:$BU$9</c:f>
              <c:strCache>
                <c:ptCount val="5"/>
                <c:pt idx="0">
                  <c:v>Sup-6</c:v>
                </c:pt>
                <c:pt idx="1">
                  <c:v>Sup-11</c:v>
                </c:pt>
                <c:pt idx="2">
                  <c:v>Sup-2</c:v>
                </c:pt>
                <c:pt idx="3">
                  <c:v>Sup-8</c:v>
                </c:pt>
                <c:pt idx="4">
                  <c:v>Sup-1</c:v>
                </c:pt>
              </c:strCache>
            </c:strRef>
          </c:cat>
          <c:val>
            <c:numRef>
              <c:f>Support!$BY$4:$BY$9</c:f>
              <c:numCache>
                <c:formatCode>#,##0.00</c:formatCode>
                <c:ptCount val="5"/>
                <c:pt idx="0">
                  <c:v>1.71</c:v>
                </c:pt>
                <c:pt idx="1">
                  <c:v>1.1000000000000001</c:v>
                </c:pt>
                <c:pt idx="2">
                  <c:v>1.41</c:v>
                </c:pt>
                <c:pt idx="3">
                  <c:v>0.51</c:v>
                </c:pt>
                <c:pt idx="4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AD-4426-A6E2-9B5D073E97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7"/>
        <c:overlap val="100"/>
        <c:axId val="1553910864"/>
        <c:axId val="1553908944"/>
      </c:barChart>
      <c:catAx>
        <c:axId val="1553910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08944"/>
        <c:crosses val="autoZero"/>
        <c:auto val="1"/>
        <c:lblAlgn val="ctr"/>
        <c:lblOffset val="100"/>
        <c:noMultiLvlLbl val="0"/>
      </c:catAx>
      <c:valAx>
        <c:axId val="155390894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1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[inventory.xlsm]Support!PivotTable11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660066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66006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EEC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20935314120219"/>
              <c:y val="-0.17329097493345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F6F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729079165217598"/>
              <c:y val="-2.378661670506620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F6FC6">
              <a:lumMod val="75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948341819673447"/>
              <c:y val="3.23480264323872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0F6FC6">
              <a:lumMod val="40000"/>
              <a:lumOff val="6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911911326345063"/>
              <c:y val="-4.974538829145162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0F6FC6">
              <a:lumMod val="5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063797659494153"/>
              <c:y val="-0.2036441586280814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653064918609314"/>
          <c:y val="0.21346057688908196"/>
          <c:w val="0.48689267644536954"/>
          <c:h val="0.75383769596368022"/>
        </c:manualLayout>
      </c:layout>
      <c:doughnutChart>
        <c:varyColors val="1"/>
        <c:ser>
          <c:idx val="0"/>
          <c:order val="0"/>
          <c:tx>
            <c:strRef>
              <c:f>Support!$CF$3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B43B"/>
            </a:solidFill>
          </c:spPr>
          <c:dPt>
            <c:idx val="0"/>
            <c:bubble3D val="0"/>
            <c:spPr>
              <a:solidFill>
                <a:srgbClr val="0F6FC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48-4207-B106-B2CE96E476AF}"/>
              </c:ext>
            </c:extLst>
          </c:dPt>
          <c:dPt>
            <c:idx val="1"/>
            <c:bubble3D val="0"/>
            <c:spPr>
              <a:solidFill>
                <a:srgbClr val="0F6FC6">
                  <a:lumMod val="75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48-4207-B106-B2CE96E476AF}"/>
              </c:ext>
            </c:extLst>
          </c:dPt>
          <c:dPt>
            <c:idx val="2"/>
            <c:bubble3D val="0"/>
            <c:spPr>
              <a:solidFill>
                <a:srgbClr val="0F6FC6">
                  <a:lumMod val="40000"/>
                  <a:lumOff val="6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848-4207-B106-B2CE96E476AF}"/>
              </c:ext>
            </c:extLst>
          </c:dPt>
          <c:dPt>
            <c:idx val="3"/>
            <c:bubble3D val="0"/>
            <c:spPr>
              <a:solidFill>
                <a:srgbClr val="0F6FC6">
                  <a:lumMod val="5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848-4207-B106-B2CE96E476AF}"/>
              </c:ext>
            </c:extLst>
          </c:dPt>
          <c:dLbls>
            <c:dLbl>
              <c:idx val="0"/>
              <c:layout>
                <c:manualLayout>
                  <c:x val="0.17729079165217598"/>
                  <c:y val="-2.3786616705066209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848-4207-B106-B2CE96E476AF}"/>
                </c:ext>
              </c:extLst>
            </c:dLbl>
            <c:dLbl>
              <c:idx val="1"/>
              <c:layout>
                <c:manualLayout>
                  <c:x val="0.17948341819673447"/>
                  <c:y val="3.234802643238726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48-4207-B106-B2CE96E476AF}"/>
                </c:ext>
              </c:extLst>
            </c:dLbl>
            <c:dLbl>
              <c:idx val="2"/>
              <c:layout>
                <c:manualLayout>
                  <c:x val="-0.15911911326345063"/>
                  <c:y val="-4.9745388291451628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848-4207-B106-B2CE96E476AF}"/>
                </c:ext>
              </c:extLst>
            </c:dLbl>
            <c:dLbl>
              <c:idx val="3"/>
              <c:layout>
                <c:manualLayout>
                  <c:x val="-0.19063797659494153"/>
                  <c:y val="-0.2036441586280814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48-4207-B106-B2CE96E4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Support!$CE$4:$CE$7</c:f>
              <c:strCache>
                <c:ptCount val="4"/>
                <c:pt idx="0">
                  <c:v> &gt;90 Days</c:v>
                </c:pt>
                <c:pt idx="1">
                  <c:v> &gt;365 Days</c:v>
                </c:pt>
                <c:pt idx="2">
                  <c:v> &gt;180 Days</c:v>
                </c:pt>
                <c:pt idx="3">
                  <c:v> &lt;90 Days</c:v>
                </c:pt>
              </c:strCache>
            </c:strRef>
          </c:cat>
          <c:val>
            <c:numRef>
              <c:f>Support!$CF$4:$CF$7</c:f>
              <c:numCache>
                <c:formatCode>#,##0.00</c:formatCode>
                <c:ptCount val="4"/>
                <c:pt idx="0">
                  <c:v>18.440000000000001</c:v>
                </c:pt>
                <c:pt idx="1">
                  <c:v>14.56</c:v>
                </c:pt>
                <c:pt idx="2">
                  <c:v>20.84</c:v>
                </c:pt>
                <c:pt idx="3">
                  <c:v>16.900000000000002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48-4207-B106-B2CE96E476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89253</xdr:colOff>
      <xdr:row>4</xdr:row>
      <xdr:rowOff>66344</xdr:rowOff>
    </xdr:from>
    <xdr:to>
      <xdr:col>11</xdr:col>
      <xdr:colOff>13046</xdr:colOff>
      <xdr:row>6</xdr:row>
      <xdr:rowOff>40251</xdr:rowOff>
    </xdr:to>
    <xdr:sp macro="[0]!Export_Dashboard_To_PDF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53E283F-52FA-9F92-2BD1-D185732A7AE2}"/>
            </a:ext>
          </a:extLst>
        </xdr:cNvPr>
        <xdr:cNvSpPr/>
      </xdr:nvSpPr>
      <xdr:spPr>
        <a:xfrm>
          <a:off x="8208908" y="814192"/>
          <a:ext cx="1684013" cy="349465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lt1"/>
              </a:solidFill>
              <a:effectLst>
                <a:outerShdw blurRad="63500" sx="102000" sy="102000" algn="ctr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Export to PDF</a:t>
          </a:r>
          <a:endParaRPr lang="en-IN" sz="1100" b="1"/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7</xdr:col>
      <xdr:colOff>2558</xdr:colOff>
      <xdr:row>47</xdr:row>
      <xdr:rowOff>166534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7181B3F1-01D1-2189-4A6C-4FFC7F4A0CE1}"/>
            </a:ext>
          </a:extLst>
        </xdr:cNvPr>
        <xdr:cNvGrpSpPr/>
      </xdr:nvGrpSpPr>
      <xdr:grpSpPr>
        <a:xfrm>
          <a:off x="0" y="0"/>
          <a:ext cx="7508258" cy="8672359"/>
          <a:chOff x="0" y="0"/>
          <a:chExt cx="6957604" cy="8938804"/>
        </a:xfrm>
      </xdr:grpSpPr>
      <xdr:sp macro="" textlink="">
        <xdr:nvSpPr>
          <xdr:cNvPr id="2" name="Back">
            <a:extLst>
              <a:ext uri="{FF2B5EF4-FFF2-40B4-BE49-F238E27FC236}">
                <a16:creationId xmlns:a16="http://schemas.microsoft.com/office/drawing/2014/main" id="{419EA567-30F3-4E38-82D7-9BF321488A77}"/>
              </a:ext>
            </a:extLst>
          </xdr:cNvPr>
          <xdr:cNvSpPr/>
        </xdr:nvSpPr>
        <xdr:spPr>
          <a:xfrm>
            <a:off x="0" y="0"/>
            <a:ext cx="6956516" cy="8938804"/>
          </a:xfrm>
          <a:prstGeom prst="roundRect">
            <a:avLst>
              <a:gd name="adj" fmla="val 2695"/>
            </a:avLst>
          </a:prstGeom>
          <a:solidFill>
            <a:schemeClr val="accent2">
              <a:lumMod val="20000"/>
              <a:lumOff val="80000"/>
            </a:schemeClr>
          </a:solidFill>
          <a:ln w="6350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" name="Headerbox">
            <a:extLst>
              <a:ext uri="{FF2B5EF4-FFF2-40B4-BE49-F238E27FC236}">
                <a16:creationId xmlns:a16="http://schemas.microsoft.com/office/drawing/2014/main" id="{D02FA07B-FEF8-4765-A103-B9B55F20B87A}"/>
              </a:ext>
            </a:extLst>
          </xdr:cNvPr>
          <xdr:cNvSpPr/>
        </xdr:nvSpPr>
        <xdr:spPr>
          <a:xfrm>
            <a:off x="14141" y="1997"/>
            <a:ext cx="6943463" cy="571675"/>
          </a:xfrm>
          <a:prstGeom prst="round2SameRect">
            <a:avLst>
              <a:gd name="adj1" fmla="val 27408"/>
              <a:gd name="adj2" fmla="val 0"/>
            </a:avLst>
          </a:prstGeom>
          <a:solidFill>
            <a:schemeClr val="accent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5" name="Header_Text">
            <a:extLst>
              <a:ext uri="{FF2B5EF4-FFF2-40B4-BE49-F238E27FC236}">
                <a16:creationId xmlns:a16="http://schemas.microsoft.com/office/drawing/2014/main" id="{EA2319A5-4F7D-415B-95B2-05AB7731AC14}"/>
              </a:ext>
            </a:extLst>
          </xdr:cNvPr>
          <xdr:cNvSpPr txBox="1"/>
        </xdr:nvSpPr>
        <xdr:spPr>
          <a:xfrm>
            <a:off x="691785" y="37007"/>
            <a:ext cx="5376454" cy="426175"/>
          </a:xfrm>
          <a:prstGeom prst="rect">
            <a:avLst/>
          </a:prstGeom>
          <a:no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800" b="0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Inventory Dashboard - Project Analysis</a:t>
            </a:r>
          </a:p>
        </xdr:txBody>
      </xdr:sp>
      <xdr:grpSp>
        <xdr:nvGrpSpPr>
          <xdr:cNvPr id="26" name="Box6">
            <a:extLst>
              <a:ext uri="{FF2B5EF4-FFF2-40B4-BE49-F238E27FC236}">
                <a16:creationId xmlns:a16="http://schemas.microsoft.com/office/drawing/2014/main" id="{979209AF-F9B4-4805-AEE2-BAADA1BDD0BD}"/>
              </a:ext>
            </a:extLst>
          </xdr:cNvPr>
          <xdr:cNvGrpSpPr/>
        </xdr:nvGrpSpPr>
        <xdr:grpSpPr>
          <a:xfrm>
            <a:off x="40605" y="1346562"/>
            <a:ext cx="3420496" cy="4409258"/>
            <a:chOff x="1644071" y="2335682"/>
            <a:chExt cx="1649010" cy="3365564"/>
          </a:xfrm>
        </xdr:grpSpPr>
        <xdr:sp macro="" textlink="">
          <xdr:nvSpPr>
            <xdr:cNvPr id="27" name="Box6">
              <a:extLst>
                <a:ext uri="{FF2B5EF4-FFF2-40B4-BE49-F238E27FC236}">
                  <a16:creationId xmlns:a16="http://schemas.microsoft.com/office/drawing/2014/main" id="{1B4518E9-63BD-524D-B0EC-0A02BD253F03}"/>
                </a:ext>
              </a:extLst>
            </xdr:cNvPr>
            <xdr:cNvSpPr/>
          </xdr:nvSpPr>
          <xdr:spPr>
            <a:xfrm>
              <a:off x="1644650" y="2335682"/>
              <a:ext cx="1644431" cy="3365564"/>
            </a:xfrm>
            <a:prstGeom prst="roundRect">
              <a:avLst>
                <a:gd name="adj" fmla="val 2021"/>
              </a:avLst>
            </a:prstGeom>
            <a:solidFill>
              <a:schemeClr val="bg1"/>
            </a:solidFill>
            <a:ln w="6350">
              <a:solidFill>
                <a:schemeClr val="accent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8" name="Rectangle: Top Corners Rounded 27">
              <a:extLst>
                <a:ext uri="{FF2B5EF4-FFF2-40B4-BE49-F238E27FC236}">
                  <a16:creationId xmlns:a16="http://schemas.microsoft.com/office/drawing/2014/main" id="{D1AFA8D1-F919-608B-C268-5F525AA0FA86}"/>
                </a:ext>
              </a:extLst>
            </xdr:cNvPr>
            <xdr:cNvSpPr/>
          </xdr:nvSpPr>
          <xdr:spPr>
            <a:xfrm rot="10800000" flipV="1">
              <a:off x="1644071" y="2336838"/>
              <a:ext cx="1649010" cy="235528"/>
            </a:xfrm>
            <a:prstGeom prst="round2SameRect">
              <a:avLst>
                <a:gd name="adj1" fmla="val 27270"/>
                <a:gd name="adj2" fmla="val 6944"/>
              </a:avLst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 b="1" i="0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IN" b="1">
                  <a:effectLst/>
                </a:rPr>
                <a:t>Stock Value by Top 10 Project Name</a:t>
              </a:r>
              <a:endParaRPr lang="en-IN" sz="1000" b="1">
                <a:effectLst/>
              </a:endParaRPr>
            </a:p>
            <a:p>
              <a:pPr algn="ctr"/>
              <a:endParaRPr lang="en-IN" sz="1000" b="1"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E34DB3E0-C0D2-CFE0-9355-70BC866A8BC7}"/>
              </a:ext>
            </a:extLst>
          </xdr:cNvPr>
          <xdr:cNvGrpSpPr/>
        </xdr:nvGrpSpPr>
        <xdr:grpSpPr>
          <a:xfrm>
            <a:off x="34982" y="634609"/>
            <a:ext cx="1249668" cy="640114"/>
            <a:chOff x="51884" y="885556"/>
            <a:chExt cx="1324161" cy="818759"/>
          </a:xfrm>
        </xdr:grpSpPr>
        <xdr:grpSp>
          <xdr:nvGrpSpPr>
            <xdr:cNvPr id="11" name="Box1">
              <a:extLst>
                <a:ext uri="{FF2B5EF4-FFF2-40B4-BE49-F238E27FC236}">
                  <a16:creationId xmlns:a16="http://schemas.microsoft.com/office/drawing/2014/main" id="{C7755D0C-0D16-4E96-92D0-632758950EDF}"/>
                </a:ext>
              </a:extLst>
            </xdr:cNvPr>
            <xdr:cNvGrpSpPr/>
          </xdr:nvGrpSpPr>
          <xdr:grpSpPr>
            <a:xfrm>
              <a:off x="51884" y="886503"/>
              <a:ext cx="1313771" cy="817812"/>
              <a:chOff x="1544983" y="565174"/>
              <a:chExt cx="1606274" cy="792898"/>
            </a:xfrm>
          </xdr:grpSpPr>
          <xdr:sp macro="" textlink="">
            <xdr:nvSpPr>
              <xdr:cNvPr id="12" name="Box1">
                <a:extLst>
                  <a:ext uri="{FF2B5EF4-FFF2-40B4-BE49-F238E27FC236}">
                    <a16:creationId xmlns:a16="http://schemas.microsoft.com/office/drawing/2014/main" id="{0E0C86EF-CB8B-4680-5058-2C0CDE61E112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13" name="Rectangle: Top Corners Rounded 12">
                <a:extLst>
                  <a:ext uri="{FF2B5EF4-FFF2-40B4-BE49-F238E27FC236}">
                    <a16:creationId xmlns:a16="http://schemas.microsoft.com/office/drawing/2014/main" id="{7BE77E0C-79AA-4027-A058-CE0340B64AA0}"/>
                  </a:ext>
                </a:extLst>
              </xdr:cNvPr>
              <xdr:cNvSpPr/>
            </xdr:nvSpPr>
            <xdr:spPr>
              <a:xfrm rot="16200000">
                <a:off x="1206090" y="907029"/>
                <a:ext cx="792861" cy="109152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B5">
          <xdr:nvSpPr>
            <xdr:cNvPr id="44" name="TextBox 43">
              <a:extLst>
                <a:ext uri="{FF2B5EF4-FFF2-40B4-BE49-F238E27FC236}">
                  <a16:creationId xmlns:a16="http://schemas.microsoft.com/office/drawing/2014/main" id="{B3E1A92A-BFE4-4E1F-84C6-0ED3F8C2DB3A}"/>
                </a:ext>
              </a:extLst>
            </xdr:cNvPr>
            <xdr:cNvSpPr txBox="1"/>
          </xdr:nvSpPr>
          <xdr:spPr>
            <a:xfrm>
              <a:off x="155919" y="885556"/>
              <a:ext cx="1220126" cy="5487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6D0DCA99-B41A-4727-AA39-9F4DABD97788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16.32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B4">
          <xdr:nvSpPr>
            <xdr:cNvPr id="45" name="TextBox 44">
              <a:extLst>
                <a:ext uri="{FF2B5EF4-FFF2-40B4-BE49-F238E27FC236}">
                  <a16:creationId xmlns:a16="http://schemas.microsoft.com/office/drawing/2014/main" id="{7E7BAE8D-E062-4D28-96F7-D7F9A96EF6E3}"/>
                </a:ext>
              </a:extLst>
            </xdr:cNvPr>
            <xdr:cNvSpPr txBox="1"/>
          </xdr:nvSpPr>
          <xdr:spPr>
            <a:xfrm>
              <a:off x="113756" y="1258517"/>
              <a:ext cx="1190896" cy="3468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5B2B728-AAE2-43FF-90E1-EF09B1A3000A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Total Stock Value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8790A6C3-4386-02C2-6F13-EC3A57A9C221}"/>
              </a:ext>
            </a:extLst>
          </xdr:cNvPr>
          <xdr:cNvGrpSpPr/>
        </xdr:nvGrpSpPr>
        <xdr:grpSpPr>
          <a:xfrm>
            <a:off x="1419145" y="635043"/>
            <a:ext cx="1249363" cy="639762"/>
            <a:chOff x="1454228" y="885414"/>
            <a:chExt cx="1318047" cy="818868"/>
          </a:xfrm>
        </xdr:grpSpPr>
        <xdr:grpSp>
          <xdr:nvGrpSpPr>
            <xdr:cNvPr id="14" name="Box2">
              <a:extLst>
                <a:ext uri="{FF2B5EF4-FFF2-40B4-BE49-F238E27FC236}">
                  <a16:creationId xmlns:a16="http://schemas.microsoft.com/office/drawing/2014/main" id="{0048311A-2F17-4310-B9E0-CD3C1B316C92}"/>
                </a:ext>
              </a:extLst>
            </xdr:cNvPr>
            <xdr:cNvGrpSpPr/>
          </xdr:nvGrpSpPr>
          <xdr:grpSpPr>
            <a:xfrm>
              <a:off x="1454228" y="886503"/>
              <a:ext cx="1316958" cy="818868"/>
              <a:chOff x="1544983" y="565702"/>
              <a:chExt cx="1606274" cy="797137"/>
            </a:xfrm>
          </xdr:grpSpPr>
          <xdr:sp macro="" textlink="">
            <xdr:nvSpPr>
              <xdr:cNvPr id="15" name="Box2">
                <a:extLst>
                  <a:ext uri="{FF2B5EF4-FFF2-40B4-BE49-F238E27FC236}">
                    <a16:creationId xmlns:a16="http://schemas.microsoft.com/office/drawing/2014/main" id="{E807E54E-C873-1E69-744A-7EF3A16BECB1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16" name="Rectangle: Top Corners Rounded 15">
                <a:extLst>
                  <a:ext uri="{FF2B5EF4-FFF2-40B4-BE49-F238E27FC236}">
                    <a16:creationId xmlns:a16="http://schemas.microsoft.com/office/drawing/2014/main" id="{CE2785DF-B98C-11BB-5989-A1DBAA24FFA2}"/>
                  </a:ext>
                </a:extLst>
              </xdr:cNvPr>
              <xdr:cNvSpPr/>
            </xdr:nvSpPr>
            <xdr:spPr>
              <a:xfrm rot="16200000">
                <a:off x="1205066" y="912867"/>
                <a:ext cx="792851" cy="107094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G5">
          <xdr:nvSpPr>
            <xdr:cNvPr id="46" name="TextBox 45">
              <a:extLst>
                <a:ext uri="{FF2B5EF4-FFF2-40B4-BE49-F238E27FC236}">
                  <a16:creationId xmlns:a16="http://schemas.microsoft.com/office/drawing/2014/main" id="{2E5CA8A7-4559-4B0D-836C-6472ED9A5BC1}"/>
                </a:ext>
              </a:extLst>
            </xdr:cNvPr>
            <xdr:cNvSpPr txBox="1"/>
          </xdr:nvSpPr>
          <xdr:spPr>
            <a:xfrm>
              <a:off x="1517471" y="885556"/>
              <a:ext cx="1215928" cy="5493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CA700F9-9398-455F-8BE1-BC0ABEBA9B11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10.78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G4">
          <xdr:nvSpPr>
            <xdr:cNvPr id="47" name="TextBox 46">
              <a:extLst>
                <a:ext uri="{FF2B5EF4-FFF2-40B4-BE49-F238E27FC236}">
                  <a16:creationId xmlns:a16="http://schemas.microsoft.com/office/drawing/2014/main" id="{2F0CBF3C-3376-4D9C-A60D-FD49776191B8}"/>
                </a:ext>
              </a:extLst>
            </xdr:cNvPr>
            <xdr:cNvSpPr txBox="1"/>
          </xdr:nvSpPr>
          <xdr:spPr>
            <a:xfrm>
              <a:off x="1509877" y="1259606"/>
              <a:ext cx="1213751" cy="3491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9510E4F0-70FC-4F13-AC08-1F72C258D424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 &lt;90 Days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5C3898AF-9B43-73B2-12A9-8EF3B73ADE3A}"/>
              </a:ext>
            </a:extLst>
          </xdr:cNvPr>
          <xdr:cNvGrpSpPr/>
        </xdr:nvGrpSpPr>
        <xdr:grpSpPr>
          <a:xfrm>
            <a:off x="2799772" y="635043"/>
            <a:ext cx="1276570" cy="639132"/>
            <a:chOff x="2847787" y="885414"/>
            <a:chExt cx="1342071" cy="819446"/>
          </a:xfrm>
        </xdr:grpSpPr>
        <xdr:grpSp>
          <xdr:nvGrpSpPr>
            <xdr:cNvPr id="17" name="Box3">
              <a:extLst>
                <a:ext uri="{FF2B5EF4-FFF2-40B4-BE49-F238E27FC236}">
                  <a16:creationId xmlns:a16="http://schemas.microsoft.com/office/drawing/2014/main" id="{3722B55D-BE1F-4314-B03C-16D166F197F1}"/>
                </a:ext>
              </a:extLst>
            </xdr:cNvPr>
            <xdr:cNvGrpSpPr/>
          </xdr:nvGrpSpPr>
          <xdr:grpSpPr>
            <a:xfrm>
              <a:off x="2848331" y="886503"/>
              <a:ext cx="1340438" cy="817813"/>
              <a:chOff x="1544983" y="565173"/>
              <a:chExt cx="1606274" cy="792899"/>
            </a:xfrm>
          </xdr:grpSpPr>
          <xdr:sp macro="" textlink="">
            <xdr:nvSpPr>
              <xdr:cNvPr id="18" name="Box3">
                <a:extLst>
                  <a:ext uri="{FF2B5EF4-FFF2-40B4-BE49-F238E27FC236}">
                    <a16:creationId xmlns:a16="http://schemas.microsoft.com/office/drawing/2014/main" id="{EF9046B5-1872-CBCB-8D53-A7491332AEE1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19" name="Rectangle: Top Corners Rounded 18">
                <a:extLst>
                  <a:ext uri="{FF2B5EF4-FFF2-40B4-BE49-F238E27FC236}">
                    <a16:creationId xmlns:a16="http://schemas.microsoft.com/office/drawing/2014/main" id="{A13C2365-67BB-8D8E-07E8-A0D670CFA2D7}"/>
                  </a:ext>
                </a:extLst>
              </xdr:cNvPr>
              <xdr:cNvSpPr/>
            </xdr:nvSpPr>
            <xdr:spPr>
              <a:xfrm rot="16200000">
                <a:off x="1206089" y="907028"/>
                <a:ext cx="792861" cy="109152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K5">
          <xdr:nvSpPr>
            <xdr:cNvPr id="48" name="TextBox 47">
              <a:extLst>
                <a:ext uri="{FF2B5EF4-FFF2-40B4-BE49-F238E27FC236}">
                  <a16:creationId xmlns:a16="http://schemas.microsoft.com/office/drawing/2014/main" id="{63B0C9D0-CC4A-427A-9B0E-865472088BD8}"/>
                </a:ext>
              </a:extLst>
            </xdr:cNvPr>
            <xdr:cNvSpPr txBox="1"/>
          </xdr:nvSpPr>
          <xdr:spPr>
            <a:xfrm>
              <a:off x="2911384" y="885556"/>
              <a:ext cx="1201779" cy="5493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847BDEB-0255-4D36-9766-4AC132F49B5C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1.85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K4">
          <xdr:nvSpPr>
            <xdr:cNvPr id="49" name="TextBox 48">
              <a:extLst>
                <a:ext uri="{FF2B5EF4-FFF2-40B4-BE49-F238E27FC236}">
                  <a16:creationId xmlns:a16="http://schemas.microsoft.com/office/drawing/2014/main" id="{63D23117-1543-404E-B192-52E75A6AD361}"/>
                </a:ext>
              </a:extLst>
            </xdr:cNvPr>
            <xdr:cNvSpPr txBox="1"/>
          </xdr:nvSpPr>
          <xdr:spPr>
            <a:xfrm>
              <a:off x="3034447" y="1261783"/>
              <a:ext cx="1024929" cy="3495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ED47E2FD-ECBF-41DE-8D91-C894B2D66CB6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 &gt;90 Days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84417933-1E11-1C52-D2C6-FE5305E55F62}"/>
              </a:ext>
            </a:extLst>
          </xdr:cNvPr>
          <xdr:cNvGrpSpPr/>
        </xdr:nvGrpSpPr>
        <xdr:grpSpPr>
          <a:xfrm>
            <a:off x="4216318" y="634639"/>
            <a:ext cx="1264692" cy="639881"/>
            <a:chOff x="4277352" y="885556"/>
            <a:chExt cx="1329069" cy="818759"/>
          </a:xfrm>
        </xdr:grpSpPr>
        <xdr:grpSp>
          <xdr:nvGrpSpPr>
            <xdr:cNvPr id="20" name="Box4">
              <a:extLst>
                <a:ext uri="{FF2B5EF4-FFF2-40B4-BE49-F238E27FC236}">
                  <a16:creationId xmlns:a16="http://schemas.microsoft.com/office/drawing/2014/main" id="{1CEE0D7F-2807-45D3-A488-C6ADC62A17DE}"/>
                </a:ext>
              </a:extLst>
            </xdr:cNvPr>
            <xdr:cNvGrpSpPr/>
          </xdr:nvGrpSpPr>
          <xdr:grpSpPr>
            <a:xfrm>
              <a:off x="4277352" y="886503"/>
              <a:ext cx="1329069" cy="817812"/>
              <a:chOff x="1544983" y="565174"/>
              <a:chExt cx="1606274" cy="792898"/>
            </a:xfrm>
          </xdr:grpSpPr>
          <xdr:sp macro="" textlink="">
            <xdr:nvSpPr>
              <xdr:cNvPr id="21" name="Box4">
                <a:extLst>
                  <a:ext uri="{FF2B5EF4-FFF2-40B4-BE49-F238E27FC236}">
                    <a16:creationId xmlns:a16="http://schemas.microsoft.com/office/drawing/2014/main" id="{15039BCD-0A18-4710-8335-BA7A71A52CAF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22" name="Rectangle: Top Corners Rounded 21">
                <a:extLst>
                  <a:ext uri="{FF2B5EF4-FFF2-40B4-BE49-F238E27FC236}">
                    <a16:creationId xmlns:a16="http://schemas.microsoft.com/office/drawing/2014/main" id="{548A5E7C-502A-B3EF-0D33-3305357A5A55}"/>
                  </a:ext>
                </a:extLst>
              </xdr:cNvPr>
              <xdr:cNvSpPr/>
            </xdr:nvSpPr>
            <xdr:spPr>
              <a:xfrm rot="16200000">
                <a:off x="1206090" y="907029"/>
                <a:ext cx="792861" cy="109152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O5">
          <xdr:nvSpPr>
            <xdr:cNvPr id="50" name="TextBox 49">
              <a:extLst>
                <a:ext uri="{FF2B5EF4-FFF2-40B4-BE49-F238E27FC236}">
                  <a16:creationId xmlns:a16="http://schemas.microsoft.com/office/drawing/2014/main" id="{3D8DD277-DDF0-4E7A-A353-69CD07178DC0}"/>
                </a:ext>
              </a:extLst>
            </xdr:cNvPr>
            <xdr:cNvSpPr txBox="1"/>
          </xdr:nvSpPr>
          <xdr:spPr>
            <a:xfrm>
              <a:off x="4364636" y="885556"/>
              <a:ext cx="1061895" cy="5493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8611E283-F58A-41B4-A42A-70D7A84FAE5F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1.08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O4">
          <xdr:nvSpPr>
            <xdr:cNvPr id="51" name="TextBox 50">
              <a:extLst>
                <a:ext uri="{FF2B5EF4-FFF2-40B4-BE49-F238E27FC236}">
                  <a16:creationId xmlns:a16="http://schemas.microsoft.com/office/drawing/2014/main" id="{E3C4EAAE-31CD-4CC9-814E-5F4956A6DB14}"/>
                </a:ext>
              </a:extLst>
            </xdr:cNvPr>
            <xdr:cNvSpPr txBox="1"/>
          </xdr:nvSpPr>
          <xdr:spPr>
            <a:xfrm>
              <a:off x="4363647" y="1258517"/>
              <a:ext cx="1063528" cy="3506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4BF78AFC-45CE-42AB-81C4-3DC3C39F3AEA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 &gt;180 Days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881B2275-2C59-C6E7-19FE-CD1812629BFF}"/>
              </a:ext>
            </a:extLst>
          </xdr:cNvPr>
          <xdr:cNvGrpSpPr/>
        </xdr:nvGrpSpPr>
        <xdr:grpSpPr>
          <a:xfrm>
            <a:off x="5617749" y="635152"/>
            <a:ext cx="1242338" cy="638595"/>
            <a:chOff x="5693373" y="885556"/>
            <a:chExt cx="1314849" cy="818759"/>
          </a:xfrm>
        </xdr:grpSpPr>
        <xdr:grpSp>
          <xdr:nvGrpSpPr>
            <xdr:cNvPr id="23" name="Box5">
              <a:extLst>
                <a:ext uri="{FF2B5EF4-FFF2-40B4-BE49-F238E27FC236}">
                  <a16:creationId xmlns:a16="http://schemas.microsoft.com/office/drawing/2014/main" id="{63ED95A1-4AAD-4476-AD6F-14A466421666}"/>
                </a:ext>
              </a:extLst>
            </xdr:cNvPr>
            <xdr:cNvGrpSpPr/>
          </xdr:nvGrpSpPr>
          <xdr:grpSpPr>
            <a:xfrm>
              <a:off x="5693373" y="886503"/>
              <a:ext cx="1314849" cy="817812"/>
              <a:chOff x="1544983" y="565174"/>
              <a:chExt cx="1606274" cy="792898"/>
            </a:xfrm>
          </xdr:grpSpPr>
          <xdr:sp macro="" textlink="">
            <xdr:nvSpPr>
              <xdr:cNvPr id="24" name="Box5">
                <a:extLst>
                  <a:ext uri="{FF2B5EF4-FFF2-40B4-BE49-F238E27FC236}">
                    <a16:creationId xmlns:a16="http://schemas.microsoft.com/office/drawing/2014/main" id="{80BC9DB9-7A94-96EF-3C07-E3B953C3EED7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25" name="Rectangle: Top Corners Rounded 24">
                <a:extLst>
                  <a:ext uri="{FF2B5EF4-FFF2-40B4-BE49-F238E27FC236}">
                    <a16:creationId xmlns:a16="http://schemas.microsoft.com/office/drawing/2014/main" id="{0A876A14-E9A9-02B7-4E01-4AA8F479CAC1}"/>
                  </a:ext>
                </a:extLst>
              </xdr:cNvPr>
              <xdr:cNvSpPr/>
            </xdr:nvSpPr>
            <xdr:spPr>
              <a:xfrm rot="16200000">
                <a:off x="1206090" y="907029"/>
                <a:ext cx="792861" cy="109152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R5">
          <xdr:nvSpPr>
            <xdr:cNvPr id="52" name="TextBox 51">
              <a:extLst>
                <a:ext uri="{FF2B5EF4-FFF2-40B4-BE49-F238E27FC236}">
                  <a16:creationId xmlns:a16="http://schemas.microsoft.com/office/drawing/2014/main" id="{5368997E-E995-40FE-965E-A6FBD7FB1BC6}"/>
                </a:ext>
              </a:extLst>
            </xdr:cNvPr>
            <xdr:cNvSpPr txBox="1"/>
          </xdr:nvSpPr>
          <xdr:spPr>
            <a:xfrm>
              <a:off x="5746166" y="885556"/>
              <a:ext cx="1183134" cy="5493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2438993B-F6CF-4C38-A67A-789B7FB91800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1.24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R4">
          <xdr:nvSpPr>
            <xdr:cNvPr id="53" name="TextBox 52">
              <a:extLst>
                <a:ext uri="{FF2B5EF4-FFF2-40B4-BE49-F238E27FC236}">
                  <a16:creationId xmlns:a16="http://schemas.microsoft.com/office/drawing/2014/main" id="{E253EE08-495D-403B-A744-327CE4B8D23F}"/>
                </a:ext>
              </a:extLst>
            </xdr:cNvPr>
            <xdr:cNvSpPr txBox="1"/>
          </xdr:nvSpPr>
          <xdr:spPr>
            <a:xfrm>
              <a:off x="5746710" y="1258517"/>
              <a:ext cx="1195653" cy="3506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5B83BDE3-4B90-4F66-9C41-1A51C8E3CC3D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 &gt;365 Days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aphicFrame macro="">
        <xdr:nvGraphicFramePr>
          <xdr:cNvPr id="62" name="Chart 61">
            <a:extLst>
              <a:ext uri="{FF2B5EF4-FFF2-40B4-BE49-F238E27FC236}">
                <a16:creationId xmlns:a16="http://schemas.microsoft.com/office/drawing/2014/main" id="{65ACC70A-68BF-4DCF-B85C-6F126D055195}"/>
              </a:ext>
            </a:extLst>
          </xdr:cNvPr>
          <xdr:cNvGraphicFramePr>
            <a:graphicFrameLocks/>
          </xdr:cNvGraphicFramePr>
        </xdr:nvGraphicFramePr>
        <xdr:xfrm>
          <a:off x="90339" y="1609452"/>
          <a:ext cx="3295110" cy="4081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5405238D-0C1A-72BD-48C5-F0363045967D}"/>
              </a:ext>
            </a:extLst>
          </xdr:cNvPr>
          <xdr:cNvGrpSpPr/>
        </xdr:nvGrpSpPr>
        <xdr:grpSpPr>
          <a:xfrm>
            <a:off x="77832" y="51153"/>
            <a:ext cx="491410" cy="476804"/>
            <a:chOff x="306832" y="235973"/>
            <a:chExt cx="1659620" cy="1651821"/>
          </a:xfrm>
        </xdr:grpSpPr>
        <xdr:sp macro="" textlink="">
          <xdr:nvSpPr>
            <xdr:cNvPr id="6" name="Oval 5">
              <a:extLst>
                <a:ext uri="{FF2B5EF4-FFF2-40B4-BE49-F238E27FC236}">
                  <a16:creationId xmlns:a16="http://schemas.microsoft.com/office/drawing/2014/main" id="{D9E5C1C1-2377-404B-98C0-F1615B534F9E}"/>
                </a:ext>
              </a:extLst>
            </xdr:cNvPr>
            <xdr:cNvSpPr/>
          </xdr:nvSpPr>
          <xdr:spPr>
            <a:xfrm>
              <a:off x="306832" y="235973"/>
              <a:ext cx="1659620" cy="1651821"/>
            </a:xfrm>
            <a:prstGeom prst="ellipse">
              <a:avLst/>
            </a:prstGeom>
            <a:solidFill>
              <a:srgbClr val="0F3156"/>
            </a:solidFill>
            <a:ln>
              <a:solidFill>
                <a:srgbClr val="0F3156"/>
              </a:solidFill>
            </a:ln>
            <a:effectLst>
              <a:outerShdw blurRad="139700" dist="38100" dir="2700000" sx="103000" sy="103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IN"/>
            </a:p>
          </xdr:txBody>
        </xdr:sp>
        <xdr:sp macro="" textlink="">
          <xdr:nvSpPr>
            <xdr:cNvPr id="7" name="Oval 6">
              <a:extLst>
                <a:ext uri="{FF2B5EF4-FFF2-40B4-BE49-F238E27FC236}">
                  <a16:creationId xmlns:a16="http://schemas.microsoft.com/office/drawing/2014/main" id="{01052A80-5E71-D96F-A6D1-E60367DB6B01}"/>
                </a:ext>
              </a:extLst>
            </xdr:cNvPr>
            <xdr:cNvSpPr/>
          </xdr:nvSpPr>
          <xdr:spPr>
            <a:xfrm>
              <a:off x="529246" y="444909"/>
              <a:ext cx="1214791" cy="1233948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IN"/>
            </a:p>
          </xdr:txBody>
        </xdr:sp>
        <xdr:pic>
          <xdr:nvPicPr>
            <xdr:cNvPr id="9" name="Picture 8" descr="A logo with a black background&#10;&#10;AI-generated content may be incorrect.">
              <a:extLst>
                <a:ext uri="{FF2B5EF4-FFF2-40B4-BE49-F238E27FC236}">
                  <a16:creationId xmlns:a16="http://schemas.microsoft.com/office/drawing/2014/main" id="{40FEA8C7-85F2-A6D2-A832-69AC7E2A78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1304" y="512041"/>
              <a:ext cx="962033" cy="962033"/>
            </a:xfrm>
            <a:prstGeom prst="rect">
              <a:avLst/>
            </a:prstGeom>
          </xdr:spPr>
        </xdr:pic>
      </xdr:grpSp>
      <xdr:grpSp>
        <xdr:nvGrpSpPr>
          <xdr:cNvPr id="30" name="Box6">
            <a:extLst>
              <a:ext uri="{FF2B5EF4-FFF2-40B4-BE49-F238E27FC236}">
                <a16:creationId xmlns:a16="http://schemas.microsoft.com/office/drawing/2014/main" id="{37EDA543-0E4B-552C-F669-35A6D687E71E}"/>
              </a:ext>
            </a:extLst>
          </xdr:cNvPr>
          <xdr:cNvGrpSpPr/>
        </xdr:nvGrpSpPr>
        <xdr:grpSpPr>
          <a:xfrm>
            <a:off x="3522618" y="1357993"/>
            <a:ext cx="3383818" cy="4397828"/>
            <a:chOff x="1644071" y="2335682"/>
            <a:chExt cx="1649010" cy="3365564"/>
          </a:xfrm>
        </xdr:grpSpPr>
        <xdr:sp macro="" textlink="">
          <xdr:nvSpPr>
            <xdr:cNvPr id="31" name="Box6">
              <a:extLst>
                <a:ext uri="{FF2B5EF4-FFF2-40B4-BE49-F238E27FC236}">
                  <a16:creationId xmlns:a16="http://schemas.microsoft.com/office/drawing/2014/main" id="{E6DFFBFC-90F1-1265-9B78-821AF898F023}"/>
                </a:ext>
              </a:extLst>
            </xdr:cNvPr>
            <xdr:cNvSpPr/>
          </xdr:nvSpPr>
          <xdr:spPr>
            <a:xfrm>
              <a:off x="1644650" y="2335682"/>
              <a:ext cx="1644431" cy="3365564"/>
            </a:xfrm>
            <a:prstGeom prst="roundRect">
              <a:avLst>
                <a:gd name="adj" fmla="val 2021"/>
              </a:avLst>
            </a:prstGeom>
            <a:solidFill>
              <a:schemeClr val="bg1"/>
            </a:solidFill>
            <a:ln w="6350">
              <a:solidFill>
                <a:schemeClr val="accent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5" name="Rectangle: Top Corners Rounded 34">
              <a:extLst>
                <a:ext uri="{FF2B5EF4-FFF2-40B4-BE49-F238E27FC236}">
                  <a16:creationId xmlns:a16="http://schemas.microsoft.com/office/drawing/2014/main" id="{97FE4C23-C780-BB8F-BAB7-152CDE8A42B0}"/>
                </a:ext>
              </a:extLst>
            </xdr:cNvPr>
            <xdr:cNvSpPr/>
          </xdr:nvSpPr>
          <xdr:spPr>
            <a:xfrm rot="10800000" flipV="1">
              <a:off x="1644071" y="2336839"/>
              <a:ext cx="1649010" cy="235528"/>
            </a:xfrm>
            <a:prstGeom prst="round2SameRect">
              <a:avLst>
                <a:gd name="adj1" fmla="val 27270"/>
                <a:gd name="adj2" fmla="val 6944"/>
              </a:avLst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 b="1" i="0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IN" b="1">
                  <a:effectLst/>
                </a:rPr>
                <a:t>Total Stock Value by Ageing and Top 5 Project</a:t>
              </a:r>
              <a:endParaRPr lang="en-IN" sz="1000" b="1">
                <a:effectLst/>
              </a:endParaRPr>
            </a:p>
            <a:p>
              <a:pPr algn="ctr"/>
              <a:endParaRPr lang="en-IN" sz="1000" b="1"/>
            </a:p>
          </xdr:txBody>
        </xdr:sp>
      </xdr:grpSp>
      <xdr:graphicFrame macro="">
        <xdr:nvGraphicFramePr>
          <xdr:cNvPr id="32" name="Chart 31">
            <a:extLst>
              <a:ext uri="{FF2B5EF4-FFF2-40B4-BE49-F238E27FC236}">
                <a16:creationId xmlns:a16="http://schemas.microsoft.com/office/drawing/2014/main" id="{A59DE6EB-00C4-40A8-A68A-E35996C85BE6}"/>
              </a:ext>
            </a:extLst>
          </xdr:cNvPr>
          <xdr:cNvGraphicFramePr>
            <a:graphicFrameLocks/>
          </xdr:cNvGraphicFramePr>
        </xdr:nvGraphicFramePr>
        <xdr:xfrm>
          <a:off x="3598274" y="1669879"/>
          <a:ext cx="3219447" cy="4032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1434A57D-BAD6-00F4-A738-1BA678369FEC}"/>
              </a:ext>
            </a:extLst>
          </xdr:cNvPr>
          <xdr:cNvGrpSpPr/>
        </xdr:nvGrpSpPr>
        <xdr:grpSpPr>
          <a:xfrm>
            <a:off x="37011" y="5825490"/>
            <a:ext cx="6882223" cy="2984864"/>
            <a:chOff x="25309" y="5701531"/>
            <a:chExt cx="6865892" cy="3111000"/>
          </a:xfrm>
        </xdr:grpSpPr>
        <xdr:sp macro="" textlink="">
          <xdr:nvSpPr>
            <xdr:cNvPr id="64" name="Box6">
              <a:extLst>
                <a:ext uri="{FF2B5EF4-FFF2-40B4-BE49-F238E27FC236}">
                  <a16:creationId xmlns:a16="http://schemas.microsoft.com/office/drawing/2014/main" id="{894E3142-5169-E4BB-5CAE-CB20E2D51F79}"/>
                </a:ext>
              </a:extLst>
            </xdr:cNvPr>
            <xdr:cNvSpPr/>
          </xdr:nvSpPr>
          <xdr:spPr>
            <a:xfrm>
              <a:off x="25558" y="5701531"/>
              <a:ext cx="6865643" cy="3111000"/>
            </a:xfrm>
            <a:prstGeom prst="roundRect">
              <a:avLst>
                <a:gd name="adj" fmla="val 4424"/>
              </a:avLst>
            </a:prstGeom>
            <a:solidFill>
              <a:schemeClr val="bg1"/>
            </a:solidFill>
            <a:ln w="6350">
              <a:solidFill>
                <a:schemeClr val="accent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4" name="Rectangle: Top Corners Rounded 33">
              <a:extLst>
                <a:ext uri="{FF2B5EF4-FFF2-40B4-BE49-F238E27FC236}">
                  <a16:creationId xmlns:a16="http://schemas.microsoft.com/office/drawing/2014/main" id="{0AB5B75C-D341-4937-8822-13CC8257E59C}"/>
                </a:ext>
              </a:extLst>
            </xdr:cNvPr>
            <xdr:cNvSpPr/>
          </xdr:nvSpPr>
          <xdr:spPr>
            <a:xfrm rot="10800000" flipV="1">
              <a:off x="25309" y="5701807"/>
              <a:ext cx="6864869" cy="315401"/>
            </a:xfrm>
            <a:prstGeom prst="round2SameRect">
              <a:avLst>
                <a:gd name="adj1" fmla="val 48741"/>
                <a:gd name="adj2" fmla="val 0"/>
              </a:avLst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 b="1" i="0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IN" b="1">
                  <a:effectLst/>
                </a:rPr>
                <a:t>Total Stock Value by Ageing</a:t>
              </a:r>
              <a:endParaRPr lang="en-IN" sz="1000" b="1">
                <a:effectLst/>
              </a:endParaRPr>
            </a:p>
            <a:p>
              <a:pPr algn="ctr"/>
              <a:endParaRPr lang="en-IN" sz="1000" b="1"/>
            </a:p>
          </xdr:txBody>
        </xdr:sp>
      </xdr:grpSp>
      <xdr:graphicFrame macro="">
        <xdr:nvGraphicFramePr>
          <xdr:cNvPr id="41" name="Chart 40">
            <a:extLst>
              <a:ext uri="{FF2B5EF4-FFF2-40B4-BE49-F238E27FC236}">
                <a16:creationId xmlns:a16="http://schemas.microsoft.com/office/drawing/2014/main" id="{E043A564-69B5-4905-82C2-978864E91953}"/>
              </a:ext>
            </a:extLst>
          </xdr:cNvPr>
          <xdr:cNvGraphicFramePr>
            <a:graphicFrameLocks/>
          </xdr:cNvGraphicFramePr>
        </xdr:nvGraphicFramePr>
        <xdr:xfrm>
          <a:off x="62050" y="6185266"/>
          <a:ext cx="6500945" cy="25042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Support!B4">
        <xdr:nvSpPr>
          <xdr:cNvPr id="29" name="TextBox 28">
            <a:extLst>
              <a:ext uri="{FF2B5EF4-FFF2-40B4-BE49-F238E27FC236}">
                <a16:creationId xmlns:a16="http://schemas.microsoft.com/office/drawing/2014/main" id="{E8182DF0-B994-ADB9-17BF-5F0CA9FBB8E8}"/>
              </a:ext>
            </a:extLst>
          </xdr:cNvPr>
          <xdr:cNvSpPr txBox="1"/>
        </xdr:nvSpPr>
        <xdr:spPr>
          <a:xfrm>
            <a:off x="2934789" y="7570051"/>
            <a:ext cx="1379764" cy="459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35B2B728-AAE2-43FF-90E1-EF09B1A3000A}" type="TxLink">
              <a:rPr lang="en-US" sz="105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rPr>
              <a:pPr marL="0" indent="0" algn="ctr"/>
              <a:t>Total Stock Value</a:t>
            </a:fld>
            <a:endParaRPr lang="en-US" sz="105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endParaRPr>
          </a:p>
        </xdr:txBody>
      </xdr:sp>
      <xdr:sp macro="" textlink="Support!B5">
        <xdr:nvSpPr>
          <xdr:cNvPr id="10" name="TextBox 9">
            <a:extLst>
              <a:ext uri="{FF2B5EF4-FFF2-40B4-BE49-F238E27FC236}">
                <a16:creationId xmlns:a16="http://schemas.microsoft.com/office/drawing/2014/main" id="{FA95F9BF-EAC5-E391-9A7E-DE75F6F0D4A6}"/>
              </a:ext>
            </a:extLst>
          </xdr:cNvPr>
          <xdr:cNvSpPr txBox="1"/>
        </xdr:nvSpPr>
        <xdr:spPr>
          <a:xfrm>
            <a:off x="2780207" y="6970119"/>
            <a:ext cx="1634481" cy="734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D0DCA99-B41A-4727-AA39-9F4DABD97788}" type="TxLink">
              <a:rPr lang="en-US" sz="32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rPr>
              <a:pPr marL="0" indent="0" algn="ctr"/>
              <a:t>16.32</a:t>
            </a:fld>
            <a:endParaRPr lang="en-US" sz="32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9</xdr:col>
      <xdr:colOff>51175</xdr:colOff>
      <xdr:row>1</xdr:row>
      <xdr:rowOff>104988</xdr:rowOff>
    </xdr:from>
    <xdr:to>
      <xdr:col>10</xdr:col>
      <xdr:colOff>633013</xdr:colOff>
      <xdr:row>3</xdr:row>
      <xdr:rowOff>74011</xdr:rowOff>
    </xdr:to>
    <xdr:sp macro="[0]!Refresh_Dashboard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1F9E6EE9-90FC-4E2B-AA9C-E43EA04D99D5}"/>
            </a:ext>
          </a:extLst>
        </xdr:cNvPr>
        <xdr:cNvSpPr/>
      </xdr:nvSpPr>
      <xdr:spPr>
        <a:xfrm>
          <a:off x="8172463" y="292766"/>
          <a:ext cx="1686192" cy="338049"/>
        </a:xfrm>
        <a:prstGeom prst="roundRect">
          <a:avLst>
            <a:gd name="adj" fmla="val 50000"/>
          </a:avLst>
        </a:prstGeom>
        <a:solidFill>
          <a:schemeClr val="accent5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lt1"/>
              </a:solidFill>
              <a:effectLst>
                <a:outerShdw blurRad="63500" sx="102000" sy="102000" algn="ctr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Refresh the Dashboard</a:t>
          </a:r>
          <a:endParaRPr lang="en-IN" sz="1000" b="1"/>
        </a:p>
      </xdr:txBody>
    </xdr:sp>
    <xdr:clientData fPrintsWithSheet="0"/>
  </xdr:twoCellAnchor>
  <xdr:twoCellAnchor editAs="absolute">
    <xdr:from>
      <xdr:col>0</xdr:col>
      <xdr:colOff>0</xdr:colOff>
      <xdr:row>48</xdr:row>
      <xdr:rowOff>2176</xdr:rowOff>
    </xdr:from>
    <xdr:to>
      <xdr:col>7</xdr:col>
      <xdr:colOff>546</xdr:colOff>
      <xdr:row>96</xdr:row>
      <xdr:rowOff>13062</xdr:rowOff>
    </xdr:to>
    <xdr:sp macro="" textlink="">
      <xdr:nvSpPr>
        <xdr:cNvPr id="55" name="Back">
          <a:extLst>
            <a:ext uri="{FF2B5EF4-FFF2-40B4-BE49-F238E27FC236}">
              <a16:creationId xmlns:a16="http://schemas.microsoft.com/office/drawing/2014/main" id="{36130515-AEBC-5C56-371E-3B53905FD642}"/>
            </a:ext>
          </a:extLst>
        </xdr:cNvPr>
        <xdr:cNvSpPr/>
      </xdr:nvSpPr>
      <xdr:spPr>
        <a:xfrm>
          <a:off x="0" y="8780416"/>
          <a:ext cx="6767106" cy="8791304"/>
        </a:xfrm>
        <a:prstGeom prst="roundRect">
          <a:avLst>
            <a:gd name="adj" fmla="val 2695"/>
          </a:avLst>
        </a:prstGeom>
        <a:solidFill>
          <a:schemeClr val="accent2">
            <a:lumMod val="20000"/>
            <a:lumOff val="80000"/>
          </a:schemeClr>
        </a:solidFill>
        <a:ln w="63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13614</xdr:colOff>
      <xdr:row>48</xdr:row>
      <xdr:rowOff>2543</xdr:rowOff>
    </xdr:from>
    <xdr:to>
      <xdr:col>7</xdr:col>
      <xdr:colOff>3</xdr:colOff>
      <xdr:row>51</xdr:row>
      <xdr:rowOff>14041</xdr:rowOff>
    </xdr:to>
    <xdr:sp macro="" textlink="">
      <xdr:nvSpPr>
        <xdr:cNvPr id="56" name="Headerbox">
          <a:extLst>
            <a:ext uri="{FF2B5EF4-FFF2-40B4-BE49-F238E27FC236}">
              <a16:creationId xmlns:a16="http://schemas.microsoft.com/office/drawing/2014/main" id="{52074DB5-424C-993C-83DA-814D3837FA64}"/>
            </a:ext>
          </a:extLst>
        </xdr:cNvPr>
        <xdr:cNvSpPr/>
      </xdr:nvSpPr>
      <xdr:spPr>
        <a:xfrm>
          <a:off x="12528" y="8963663"/>
          <a:ext cx="7034886" cy="570482"/>
        </a:xfrm>
        <a:prstGeom prst="round2SameRect">
          <a:avLst>
            <a:gd name="adj1" fmla="val 27408"/>
            <a:gd name="adj2" fmla="val 0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574160</xdr:colOff>
      <xdr:row>48</xdr:row>
      <xdr:rowOff>39213</xdr:rowOff>
    </xdr:from>
    <xdr:to>
      <xdr:col>6</xdr:col>
      <xdr:colOff>344695</xdr:colOff>
      <xdr:row>50</xdr:row>
      <xdr:rowOff>90153</xdr:rowOff>
    </xdr:to>
    <xdr:sp macro="" textlink="">
      <xdr:nvSpPr>
        <xdr:cNvPr id="57" name="Header_Text">
          <a:extLst>
            <a:ext uri="{FF2B5EF4-FFF2-40B4-BE49-F238E27FC236}">
              <a16:creationId xmlns:a16="http://schemas.microsoft.com/office/drawing/2014/main" id="{FB67E5C7-B9F4-A5D9-F354-2B39AE1E2316}"/>
            </a:ext>
          </a:extLst>
        </xdr:cNvPr>
        <xdr:cNvSpPr txBox="1"/>
      </xdr:nvSpPr>
      <xdr:spPr>
        <a:xfrm>
          <a:off x="692270" y="9000333"/>
          <a:ext cx="5447435" cy="423234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8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Inventory Dashboard - Supplier Analysis</a:t>
          </a:r>
        </a:p>
      </xdr:txBody>
    </xdr:sp>
    <xdr:clientData/>
  </xdr:twoCellAnchor>
  <xdr:twoCellAnchor editAs="absolute">
    <xdr:from>
      <xdr:col>0</xdr:col>
      <xdr:colOff>78009</xdr:colOff>
      <xdr:row>48</xdr:row>
      <xdr:rowOff>51722</xdr:rowOff>
    </xdr:from>
    <xdr:to>
      <xdr:col>1</xdr:col>
      <xdr:colOff>454598</xdr:colOff>
      <xdr:row>50</xdr:row>
      <xdr:rowOff>153905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225E9598-F23C-CFB5-E13A-A0EE0AC2F86C}"/>
            </a:ext>
          </a:extLst>
        </xdr:cNvPr>
        <xdr:cNvGrpSpPr/>
      </xdr:nvGrpSpPr>
      <xdr:grpSpPr>
        <a:xfrm>
          <a:off x="78009" y="8738522"/>
          <a:ext cx="509939" cy="464133"/>
          <a:chOff x="306832" y="235973"/>
          <a:chExt cx="1659620" cy="1651821"/>
        </a:xfrm>
      </xdr:grpSpPr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DACAE47B-FEF7-3E41-713A-CD58E958E94E}"/>
              </a:ext>
            </a:extLst>
          </xdr:cNvPr>
          <xdr:cNvSpPr/>
        </xdr:nvSpPr>
        <xdr:spPr>
          <a:xfrm>
            <a:off x="306832" y="235973"/>
            <a:ext cx="1659620" cy="1651821"/>
          </a:xfrm>
          <a:prstGeom prst="ellipse">
            <a:avLst/>
          </a:prstGeom>
          <a:solidFill>
            <a:srgbClr val="0F3156"/>
          </a:solidFill>
          <a:ln>
            <a:solidFill>
              <a:srgbClr val="0F3156"/>
            </a:solidFill>
          </a:ln>
          <a:effectLst>
            <a:outerShdw blurRad="139700" dist="38100" dir="2700000" sx="103000" sy="103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">
        <xdr:nvSpPr>
          <xdr:cNvPr id="79" name="Oval 78">
            <a:extLst>
              <a:ext uri="{FF2B5EF4-FFF2-40B4-BE49-F238E27FC236}">
                <a16:creationId xmlns:a16="http://schemas.microsoft.com/office/drawing/2014/main" id="{A3F97874-EA39-1EA2-5E89-155A36F04E53}"/>
              </a:ext>
            </a:extLst>
          </xdr:cNvPr>
          <xdr:cNvSpPr/>
        </xdr:nvSpPr>
        <xdr:spPr>
          <a:xfrm>
            <a:off x="529246" y="444909"/>
            <a:ext cx="1214791" cy="1233948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pic>
        <xdr:nvPicPr>
          <xdr:cNvPr id="80" name="Picture 79" descr="A logo with a black background&#10;&#10;AI-generated content may be incorrect.">
            <a:extLst>
              <a:ext uri="{FF2B5EF4-FFF2-40B4-BE49-F238E27FC236}">
                <a16:creationId xmlns:a16="http://schemas.microsoft.com/office/drawing/2014/main" id="{BD63DC42-D928-C4D9-411B-0810871BB5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1304" y="512041"/>
            <a:ext cx="962033" cy="962033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27200</xdr:colOff>
      <xdr:row>79</xdr:row>
      <xdr:rowOff>33745</xdr:rowOff>
    </xdr:from>
    <xdr:to>
      <xdr:col>6</xdr:col>
      <xdr:colOff>1168038</xdr:colOff>
      <xdr:row>95</xdr:row>
      <xdr:rowOff>40718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3682D819-80CD-A2DC-B92F-1023C3761AF2}"/>
            </a:ext>
          </a:extLst>
        </xdr:cNvPr>
        <xdr:cNvGrpSpPr/>
      </xdr:nvGrpSpPr>
      <xdr:grpSpPr>
        <a:xfrm>
          <a:off x="27200" y="14330770"/>
          <a:ext cx="7293988" cy="2902573"/>
          <a:chOff x="25308" y="5690843"/>
          <a:chExt cx="6865893" cy="3121688"/>
        </a:xfrm>
      </xdr:grpSpPr>
      <xdr:sp macro="" textlink="">
        <xdr:nvSpPr>
          <xdr:cNvPr id="74" name="Box6">
            <a:extLst>
              <a:ext uri="{FF2B5EF4-FFF2-40B4-BE49-F238E27FC236}">
                <a16:creationId xmlns:a16="http://schemas.microsoft.com/office/drawing/2014/main" id="{F2559ECA-8198-9B28-7AE3-266FCEB0402A}"/>
              </a:ext>
            </a:extLst>
          </xdr:cNvPr>
          <xdr:cNvSpPr/>
        </xdr:nvSpPr>
        <xdr:spPr>
          <a:xfrm>
            <a:off x="25558" y="5701531"/>
            <a:ext cx="6865643" cy="3111000"/>
          </a:xfrm>
          <a:prstGeom prst="roundRect">
            <a:avLst>
              <a:gd name="adj" fmla="val 4424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75" name="Rectangle: Top Corners Rounded 74">
            <a:extLst>
              <a:ext uri="{FF2B5EF4-FFF2-40B4-BE49-F238E27FC236}">
                <a16:creationId xmlns:a16="http://schemas.microsoft.com/office/drawing/2014/main" id="{17EE13CA-7151-0C89-215F-5195BF691541}"/>
              </a:ext>
            </a:extLst>
          </xdr:cNvPr>
          <xdr:cNvSpPr/>
        </xdr:nvSpPr>
        <xdr:spPr>
          <a:xfrm rot="10800000" flipV="1">
            <a:off x="25308" y="5690843"/>
            <a:ext cx="6865892" cy="326365"/>
          </a:xfrm>
          <a:prstGeom prst="round2SameRect">
            <a:avLst>
              <a:gd name="adj1" fmla="val 48741"/>
              <a:gd name="adj2" fmla="val 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I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Total Stock Value by Ageing</a:t>
            </a:r>
            <a:endParaRPr lang="en-IN" sz="1000" b="1"/>
          </a:p>
        </xdr:txBody>
      </xdr:sp>
    </xdr:grpSp>
    <xdr:clientData/>
  </xdr:twoCellAnchor>
  <xdr:twoCellAnchor editAs="absolute">
    <xdr:from>
      <xdr:col>0</xdr:col>
      <xdr:colOff>62049</xdr:colOff>
      <xdr:row>51</xdr:row>
      <xdr:rowOff>62043</xdr:rowOff>
    </xdr:from>
    <xdr:to>
      <xdr:col>1</xdr:col>
      <xdr:colOff>1155271</xdr:colOff>
      <xdr:row>54</xdr:row>
      <xdr:rowOff>146410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A431B93B-6BD1-4F72-D0A4-C7D0303866A1}"/>
            </a:ext>
          </a:extLst>
        </xdr:cNvPr>
        <xdr:cNvGrpSpPr/>
      </xdr:nvGrpSpPr>
      <xdr:grpSpPr>
        <a:xfrm>
          <a:off x="62049" y="9291768"/>
          <a:ext cx="1226572" cy="627292"/>
          <a:chOff x="9286824" y="2308854"/>
          <a:chExt cx="1208067" cy="632463"/>
        </a:xfrm>
      </xdr:grpSpPr>
      <xdr:sp macro="" textlink="">
        <xdr:nvSpPr>
          <xdr:cNvPr id="104" name="Box1">
            <a:extLst>
              <a:ext uri="{FF2B5EF4-FFF2-40B4-BE49-F238E27FC236}">
                <a16:creationId xmlns:a16="http://schemas.microsoft.com/office/drawing/2014/main" id="{FEA851AE-9E3C-432E-978F-384DA4D9CC27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05" name="Rectangle: Top Corners Rounded 104">
            <a:extLst>
              <a:ext uri="{FF2B5EF4-FFF2-40B4-BE49-F238E27FC236}">
                <a16:creationId xmlns:a16="http://schemas.microsoft.com/office/drawing/2014/main" id="{09D5D587-9511-47D4-B103-6393FEC529E9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1</xdr:col>
      <xdr:colOff>1299482</xdr:colOff>
      <xdr:row>51</xdr:row>
      <xdr:rowOff>62043</xdr:rowOff>
    </xdr:from>
    <xdr:to>
      <xdr:col>3</xdr:col>
      <xdr:colOff>16353</xdr:colOff>
      <xdr:row>54</xdr:row>
      <xdr:rowOff>146410</xdr:rowOff>
    </xdr:to>
    <xdr:grpSp>
      <xdr:nvGrpSpPr>
        <xdr:cNvPr id="107" name="Group 106">
          <a:extLst>
            <a:ext uri="{FF2B5EF4-FFF2-40B4-BE49-F238E27FC236}">
              <a16:creationId xmlns:a16="http://schemas.microsoft.com/office/drawing/2014/main" id="{73E04667-988B-4292-9FAA-A99C0DB37BE1}"/>
            </a:ext>
          </a:extLst>
        </xdr:cNvPr>
        <xdr:cNvGrpSpPr/>
      </xdr:nvGrpSpPr>
      <xdr:grpSpPr>
        <a:xfrm>
          <a:off x="1432832" y="9291768"/>
          <a:ext cx="1479121" cy="627292"/>
          <a:chOff x="9286824" y="2308854"/>
          <a:chExt cx="1208067" cy="632463"/>
        </a:xfrm>
      </xdr:grpSpPr>
      <xdr:sp macro="" textlink="">
        <xdr:nvSpPr>
          <xdr:cNvPr id="108" name="Box1">
            <a:extLst>
              <a:ext uri="{FF2B5EF4-FFF2-40B4-BE49-F238E27FC236}">
                <a16:creationId xmlns:a16="http://schemas.microsoft.com/office/drawing/2014/main" id="{7E7C554A-820D-281C-CE86-DE06895A1346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09" name="Rectangle: Top Corners Rounded 108">
            <a:extLst>
              <a:ext uri="{FF2B5EF4-FFF2-40B4-BE49-F238E27FC236}">
                <a16:creationId xmlns:a16="http://schemas.microsoft.com/office/drawing/2014/main" id="{F63046EF-C298-4720-CAD6-04FBD4833769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3</xdr:col>
      <xdr:colOff>164374</xdr:colOff>
      <xdr:row>51</xdr:row>
      <xdr:rowOff>62043</xdr:rowOff>
    </xdr:from>
    <xdr:to>
      <xdr:col>4</xdr:col>
      <xdr:colOff>387284</xdr:colOff>
      <xdr:row>54</xdr:row>
      <xdr:rowOff>146410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65CA9B4-9411-4574-B504-79E1B40A18B2}"/>
            </a:ext>
          </a:extLst>
        </xdr:cNvPr>
        <xdr:cNvGrpSpPr/>
      </xdr:nvGrpSpPr>
      <xdr:grpSpPr>
        <a:xfrm>
          <a:off x="3059974" y="9291768"/>
          <a:ext cx="1308760" cy="627292"/>
          <a:chOff x="9286824" y="2308854"/>
          <a:chExt cx="1208067" cy="632463"/>
        </a:xfrm>
      </xdr:grpSpPr>
      <xdr:sp macro="" textlink="">
        <xdr:nvSpPr>
          <xdr:cNvPr id="111" name="Box1">
            <a:extLst>
              <a:ext uri="{FF2B5EF4-FFF2-40B4-BE49-F238E27FC236}">
                <a16:creationId xmlns:a16="http://schemas.microsoft.com/office/drawing/2014/main" id="{720D9E51-DC79-199A-ECB3-FD403657BADA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12" name="Rectangle: Top Corners Rounded 111">
            <a:extLst>
              <a:ext uri="{FF2B5EF4-FFF2-40B4-BE49-F238E27FC236}">
                <a16:creationId xmlns:a16="http://schemas.microsoft.com/office/drawing/2014/main" id="{596F4E31-244C-6072-C5C8-9B5C65C087C7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4</xdr:col>
      <xdr:colOff>535305</xdr:colOff>
      <xdr:row>51</xdr:row>
      <xdr:rowOff>62043</xdr:rowOff>
    </xdr:from>
    <xdr:to>
      <xdr:col>5</xdr:col>
      <xdr:colOff>760392</xdr:colOff>
      <xdr:row>54</xdr:row>
      <xdr:rowOff>146410</xdr:rowOff>
    </xdr:to>
    <xdr:grpSp>
      <xdr:nvGrpSpPr>
        <xdr:cNvPr id="113" name="Group 112">
          <a:extLst>
            <a:ext uri="{FF2B5EF4-FFF2-40B4-BE49-F238E27FC236}">
              <a16:creationId xmlns:a16="http://schemas.microsoft.com/office/drawing/2014/main" id="{E738B299-A8C6-4657-B149-016D640A198A}"/>
            </a:ext>
          </a:extLst>
        </xdr:cNvPr>
        <xdr:cNvGrpSpPr/>
      </xdr:nvGrpSpPr>
      <xdr:grpSpPr>
        <a:xfrm>
          <a:off x="4516755" y="9291768"/>
          <a:ext cx="1310937" cy="627292"/>
          <a:chOff x="9286824" y="2308854"/>
          <a:chExt cx="1208067" cy="632463"/>
        </a:xfrm>
      </xdr:grpSpPr>
      <xdr:sp macro="" textlink="">
        <xdr:nvSpPr>
          <xdr:cNvPr id="114" name="Box1">
            <a:extLst>
              <a:ext uri="{FF2B5EF4-FFF2-40B4-BE49-F238E27FC236}">
                <a16:creationId xmlns:a16="http://schemas.microsoft.com/office/drawing/2014/main" id="{56B2EDD5-3FBF-8005-1FE7-8CDC6BC0565F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15" name="Rectangle: Top Corners Rounded 114">
            <a:extLst>
              <a:ext uri="{FF2B5EF4-FFF2-40B4-BE49-F238E27FC236}">
                <a16:creationId xmlns:a16="http://schemas.microsoft.com/office/drawing/2014/main" id="{FD252B0D-63AA-4E4B-39C1-B7E7C1C8A24E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5</xdr:col>
      <xdr:colOff>908413</xdr:colOff>
      <xdr:row>51</xdr:row>
      <xdr:rowOff>62043</xdr:rowOff>
    </xdr:from>
    <xdr:to>
      <xdr:col>6</xdr:col>
      <xdr:colOff>1131323</xdr:colOff>
      <xdr:row>54</xdr:row>
      <xdr:rowOff>146410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3DCB76E5-DD35-4091-ADA5-2208C7C9EDFB}"/>
            </a:ext>
          </a:extLst>
        </xdr:cNvPr>
        <xdr:cNvGrpSpPr/>
      </xdr:nvGrpSpPr>
      <xdr:grpSpPr>
        <a:xfrm>
          <a:off x="5975713" y="9291768"/>
          <a:ext cx="1308760" cy="627292"/>
          <a:chOff x="9286824" y="2308854"/>
          <a:chExt cx="1208067" cy="632463"/>
        </a:xfrm>
      </xdr:grpSpPr>
      <xdr:sp macro="" textlink="">
        <xdr:nvSpPr>
          <xdr:cNvPr id="117" name="Box1">
            <a:extLst>
              <a:ext uri="{FF2B5EF4-FFF2-40B4-BE49-F238E27FC236}">
                <a16:creationId xmlns:a16="http://schemas.microsoft.com/office/drawing/2014/main" id="{7555D4F7-B668-5F17-7F04-684575E93F4B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18" name="Rectangle: Top Corners Rounded 117">
            <a:extLst>
              <a:ext uri="{FF2B5EF4-FFF2-40B4-BE49-F238E27FC236}">
                <a16:creationId xmlns:a16="http://schemas.microsoft.com/office/drawing/2014/main" id="{9F9FC8F6-497A-A656-FC4A-3DF496924F79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0</xdr:col>
      <xdr:colOff>63217</xdr:colOff>
      <xdr:row>55</xdr:row>
      <xdr:rowOff>32113</xdr:rowOff>
    </xdr:from>
    <xdr:to>
      <xdr:col>3</xdr:col>
      <xdr:colOff>774774</xdr:colOff>
      <xdr:row>78</xdr:row>
      <xdr:rowOff>147867</xdr:rowOff>
    </xdr:to>
    <xdr:sp macro="" textlink="">
      <xdr:nvSpPr>
        <xdr:cNvPr id="123" name="Box6">
          <a:extLst>
            <a:ext uri="{FF2B5EF4-FFF2-40B4-BE49-F238E27FC236}">
              <a16:creationId xmlns:a16="http://schemas.microsoft.com/office/drawing/2014/main" id="{14AAA7E2-6AB6-435E-A4EC-0B979ECA6CFE}"/>
            </a:ext>
          </a:extLst>
        </xdr:cNvPr>
        <xdr:cNvSpPr/>
      </xdr:nvSpPr>
      <xdr:spPr>
        <a:xfrm>
          <a:off x="62128" y="10088880"/>
          <a:ext cx="3318142" cy="4321994"/>
        </a:xfrm>
        <a:prstGeom prst="roundRect">
          <a:avLst>
            <a:gd name="adj" fmla="val 2021"/>
          </a:avLst>
        </a:prstGeom>
        <a:solidFill>
          <a:schemeClr val="bg1"/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62049</xdr:colOff>
      <xdr:row>55</xdr:row>
      <xdr:rowOff>33598</xdr:rowOff>
    </xdr:from>
    <xdr:to>
      <xdr:col>3</xdr:col>
      <xdr:colOff>783391</xdr:colOff>
      <xdr:row>56</xdr:row>
      <xdr:rowOff>151546</xdr:rowOff>
    </xdr:to>
    <xdr:sp macro="" textlink="">
      <xdr:nvSpPr>
        <xdr:cNvPr id="124" name="Rectangle: Top Corners Rounded 123">
          <a:extLst>
            <a:ext uri="{FF2B5EF4-FFF2-40B4-BE49-F238E27FC236}">
              <a16:creationId xmlns:a16="http://schemas.microsoft.com/office/drawing/2014/main" id="{F2054A07-1CED-43E5-A614-F0CEADD3EACD}"/>
            </a:ext>
          </a:extLst>
        </xdr:cNvPr>
        <xdr:cNvSpPr/>
      </xdr:nvSpPr>
      <xdr:spPr>
        <a:xfrm rot="10800000" flipV="1">
          <a:off x="60960" y="10090365"/>
          <a:ext cx="3327382" cy="302461"/>
        </a:xfrm>
        <a:prstGeom prst="round2SameRect">
          <a:avLst>
            <a:gd name="adj1" fmla="val 27270"/>
            <a:gd name="adj2" fmla="val 6944"/>
          </a:avLst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b="1">
              <a:effectLst/>
            </a:rPr>
            <a:t>Stock Value by Top 10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Supplier Name </a:t>
          </a:r>
          <a:endParaRPr lang="en-IN" sz="1000" b="1">
            <a:effectLst/>
          </a:endParaRPr>
        </a:p>
      </xdr:txBody>
    </xdr:sp>
    <xdr:clientData/>
  </xdr:twoCellAnchor>
  <xdr:twoCellAnchor editAs="absolute">
    <xdr:from>
      <xdr:col>3</xdr:col>
      <xdr:colOff>841667</xdr:colOff>
      <xdr:row>55</xdr:row>
      <xdr:rowOff>40052</xdr:rowOff>
    </xdr:from>
    <xdr:to>
      <xdr:col>6</xdr:col>
      <xdr:colOff>1178555</xdr:colOff>
      <xdr:row>78</xdr:row>
      <xdr:rowOff>147869</xdr:rowOff>
    </xdr:to>
    <xdr:sp macro="" textlink="">
      <xdr:nvSpPr>
        <xdr:cNvPr id="125" name="Box6">
          <a:extLst>
            <a:ext uri="{FF2B5EF4-FFF2-40B4-BE49-F238E27FC236}">
              <a16:creationId xmlns:a16="http://schemas.microsoft.com/office/drawing/2014/main" id="{105B3188-EBC0-43BC-B8E0-2736CF3142CF}"/>
            </a:ext>
          </a:extLst>
        </xdr:cNvPr>
        <xdr:cNvSpPr/>
      </xdr:nvSpPr>
      <xdr:spPr>
        <a:xfrm>
          <a:off x="3449340" y="10100085"/>
          <a:ext cx="3282562" cy="4310791"/>
        </a:xfrm>
        <a:prstGeom prst="roundRect">
          <a:avLst>
            <a:gd name="adj" fmla="val 2021"/>
          </a:avLst>
        </a:prstGeom>
        <a:solidFill>
          <a:schemeClr val="bg1"/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3</xdr:col>
      <xdr:colOff>840511</xdr:colOff>
      <xdr:row>55</xdr:row>
      <xdr:rowOff>41534</xdr:rowOff>
    </xdr:from>
    <xdr:to>
      <xdr:col>6</xdr:col>
      <xdr:colOff>1183273</xdr:colOff>
      <xdr:row>56</xdr:row>
      <xdr:rowOff>162508</xdr:rowOff>
    </xdr:to>
    <xdr:sp macro="" textlink="">
      <xdr:nvSpPr>
        <xdr:cNvPr id="126" name="Rectangle: Top Corners Rounded 125">
          <a:extLst>
            <a:ext uri="{FF2B5EF4-FFF2-40B4-BE49-F238E27FC236}">
              <a16:creationId xmlns:a16="http://schemas.microsoft.com/office/drawing/2014/main" id="{FB66C8F6-8D93-4193-87EE-B9459607534A}"/>
            </a:ext>
          </a:extLst>
        </xdr:cNvPr>
        <xdr:cNvSpPr/>
      </xdr:nvSpPr>
      <xdr:spPr>
        <a:xfrm rot="10800000" flipV="1">
          <a:off x="3448184" y="10101567"/>
          <a:ext cx="3291702" cy="301677"/>
        </a:xfrm>
        <a:prstGeom prst="round2SameRect">
          <a:avLst>
            <a:gd name="adj1" fmla="val 27270"/>
            <a:gd name="adj2" fmla="val 6944"/>
          </a:avLst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b="1">
              <a:effectLst/>
            </a:rPr>
            <a:t>Total Stock Value by Ageing and Top </a:t>
          </a:r>
          <a:r>
            <a:rPr lang="en-IN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Supplier Name</a:t>
          </a:r>
          <a:endParaRPr lang="en-IN" sz="1000" b="1"/>
        </a:p>
      </xdr:txBody>
    </xdr:sp>
    <xdr:clientData/>
  </xdr:twoCellAnchor>
  <xdr:twoCellAnchor editAs="absolute">
    <xdr:from>
      <xdr:col>0</xdr:col>
      <xdr:colOff>0</xdr:colOff>
      <xdr:row>96</xdr:row>
      <xdr:rowOff>62049</xdr:rowOff>
    </xdr:from>
    <xdr:to>
      <xdr:col>6</xdr:col>
      <xdr:colOff>1198376</xdr:colOff>
      <xdr:row>99</xdr:row>
      <xdr:rowOff>74314</xdr:rowOff>
    </xdr:to>
    <xdr:sp macro="" textlink="">
      <xdr:nvSpPr>
        <xdr:cNvPr id="127" name="Headerbox">
          <a:extLst>
            <a:ext uri="{FF2B5EF4-FFF2-40B4-BE49-F238E27FC236}">
              <a16:creationId xmlns:a16="http://schemas.microsoft.com/office/drawing/2014/main" id="{001AEAF0-11CE-409D-8ADE-D91960C3F143}"/>
            </a:ext>
          </a:extLst>
        </xdr:cNvPr>
        <xdr:cNvSpPr/>
      </xdr:nvSpPr>
      <xdr:spPr>
        <a:xfrm>
          <a:off x="0" y="17617440"/>
          <a:ext cx="6754445" cy="560361"/>
        </a:xfrm>
        <a:prstGeom prst="round2SameRect">
          <a:avLst>
            <a:gd name="adj1" fmla="val 27408"/>
            <a:gd name="adj2" fmla="val 0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603613</xdr:colOff>
      <xdr:row>96</xdr:row>
      <xdr:rowOff>146413</xdr:rowOff>
    </xdr:from>
    <xdr:to>
      <xdr:col>6</xdr:col>
      <xdr:colOff>391938</xdr:colOff>
      <xdr:row>99</xdr:row>
      <xdr:rowOff>12792</xdr:rowOff>
    </xdr:to>
    <xdr:sp macro="" textlink="">
      <xdr:nvSpPr>
        <xdr:cNvPr id="128" name="Header_Text">
          <a:extLst>
            <a:ext uri="{FF2B5EF4-FFF2-40B4-BE49-F238E27FC236}">
              <a16:creationId xmlns:a16="http://schemas.microsoft.com/office/drawing/2014/main" id="{10436A66-ABD6-43D6-A372-E8497998A13F}"/>
            </a:ext>
          </a:extLst>
        </xdr:cNvPr>
        <xdr:cNvSpPr txBox="1"/>
      </xdr:nvSpPr>
      <xdr:spPr>
        <a:xfrm>
          <a:off x="716280" y="17701260"/>
          <a:ext cx="5230094" cy="41774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8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Inventory Dashboard - Project Summary</a:t>
          </a:r>
        </a:p>
      </xdr:txBody>
    </xdr:sp>
    <xdr:clientData/>
  </xdr:twoCellAnchor>
  <xdr:twoCellAnchor editAs="absolute">
    <xdr:from>
      <xdr:col>1</xdr:col>
      <xdr:colOff>13533</xdr:colOff>
      <xdr:row>51</xdr:row>
      <xdr:rowOff>82187</xdr:rowOff>
    </xdr:from>
    <xdr:to>
      <xdr:col>1</xdr:col>
      <xdr:colOff>1137445</xdr:colOff>
      <xdr:row>53</xdr:row>
      <xdr:rowOff>139825</xdr:rowOff>
    </xdr:to>
    <xdr:sp macro="" textlink="Support!AX4">
      <xdr:nvSpPr>
        <xdr:cNvPr id="129" name="TextBox 128">
          <a:extLst>
            <a:ext uri="{FF2B5EF4-FFF2-40B4-BE49-F238E27FC236}">
              <a16:creationId xmlns:a16="http://schemas.microsoft.com/office/drawing/2014/main" id="{C920749C-8C10-40E4-ADC4-DA4A199BC695}"/>
            </a:ext>
          </a:extLst>
        </xdr:cNvPr>
        <xdr:cNvSpPr txBox="1"/>
      </xdr:nvSpPr>
      <xdr:spPr>
        <a:xfrm>
          <a:off x="128922" y="941070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463A18F-B00B-46CE-BA0E-4750949E96C7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70.74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5987</xdr:colOff>
      <xdr:row>53</xdr:row>
      <xdr:rowOff>2879</xdr:rowOff>
    </xdr:from>
    <xdr:to>
      <xdr:col>1</xdr:col>
      <xdr:colOff>1127891</xdr:colOff>
      <xdr:row>54</xdr:row>
      <xdr:rowOff>89559</xdr:rowOff>
    </xdr:to>
    <xdr:sp macro="" textlink="Support!AX3">
      <xdr:nvSpPr>
        <xdr:cNvPr id="130" name="TextBox 129">
          <a:extLst>
            <a:ext uri="{FF2B5EF4-FFF2-40B4-BE49-F238E27FC236}">
              <a16:creationId xmlns:a16="http://schemas.microsoft.com/office/drawing/2014/main" id="{FA23C02A-CCF0-480D-82D1-68D748A57B67}"/>
            </a:ext>
          </a:extLst>
        </xdr:cNvPr>
        <xdr:cNvSpPr txBox="1"/>
      </xdr:nvSpPr>
      <xdr:spPr>
        <a:xfrm>
          <a:off x="121920" y="969715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3C82186-F419-4FF0-934F-A03A13A0D873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Stock Value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1338869</xdr:colOff>
      <xdr:row>51</xdr:row>
      <xdr:rowOff>82187</xdr:rowOff>
    </xdr:from>
    <xdr:to>
      <xdr:col>2</xdr:col>
      <xdr:colOff>952932</xdr:colOff>
      <xdr:row>53</xdr:row>
      <xdr:rowOff>139825</xdr:rowOff>
    </xdr:to>
    <xdr:sp macro="" textlink="Support!AZ4">
      <xdr:nvSpPr>
        <xdr:cNvPr id="131" name="TextBox 130">
          <a:extLst>
            <a:ext uri="{FF2B5EF4-FFF2-40B4-BE49-F238E27FC236}">
              <a16:creationId xmlns:a16="http://schemas.microsoft.com/office/drawing/2014/main" id="{B50C54BA-C8A7-4925-BBEA-A7288791678C}"/>
            </a:ext>
          </a:extLst>
        </xdr:cNvPr>
        <xdr:cNvSpPr txBox="1"/>
      </xdr:nvSpPr>
      <xdr:spPr>
        <a:xfrm>
          <a:off x="1454802" y="941070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02E19B4-BF39-4157-B861-4C9692A8F4B9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16.90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1333500</xdr:colOff>
      <xdr:row>53</xdr:row>
      <xdr:rowOff>2879</xdr:rowOff>
    </xdr:from>
    <xdr:to>
      <xdr:col>2</xdr:col>
      <xdr:colOff>943378</xdr:colOff>
      <xdr:row>54</xdr:row>
      <xdr:rowOff>89559</xdr:rowOff>
    </xdr:to>
    <xdr:sp macro="" textlink="Support!AZ3">
      <xdr:nvSpPr>
        <xdr:cNvPr id="132" name="TextBox 131">
          <a:extLst>
            <a:ext uri="{FF2B5EF4-FFF2-40B4-BE49-F238E27FC236}">
              <a16:creationId xmlns:a16="http://schemas.microsoft.com/office/drawing/2014/main" id="{78F7E8FB-202B-4FEB-9083-E2C31951A200}"/>
            </a:ext>
          </a:extLst>
        </xdr:cNvPr>
        <xdr:cNvSpPr txBox="1"/>
      </xdr:nvSpPr>
      <xdr:spPr>
        <a:xfrm>
          <a:off x="1447800" y="969715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1C2C724-834D-449E-9D45-90869CAC3767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&lt;90 Days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266082</xdr:colOff>
      <xdr:row>51</xdr:row>
      <xdr:rowOff>90351</xdr:rowOff>
    </xdr:from>
    <xdr:to>
      <xdr:col>4</xdr:col>
      <xdr:colOff>405381</xdr:colOff>
      <xdr:row>53</xdr:row>
      <xdr:rowOff>147989</xdr:rowOff>
    </xdr:to>
    <xdr:sp macro="" textlink="Support!BB4">
      <xdr:nvSpPr>
        <xdr:cNvPr id="133" name="TextBox 132">
          <a:extLst>
            <a:ext uri="{FF2B5EF4-FFF2-40B4-BE49-F238E27FC236}">
              <a16:creationId xmlns:a16="http://schemas.microsoft.com/office/drawing/2014/main" id="{7C10018A-1FF1-463E-9559-33CAFFA36887}"/>
            </a:ext>
          </a:extLst>
        </xdr:cNvPr>
        <xdr:cNvSpPr txBox="1"/>
      </xdr:nvSpPr>
      <xdr:spPr>
        <a:xfrm>
          <a:off x="2872122" y="941832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2981E1E-4471-462C-91EC-59BF36A22C89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18.44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260713</xdr:colOff>
      <xdr:row>53</xdr:row>
      <xdr:rowOff>12676</xdr:rowOff>
    </xdr:from>
    <xdr:to>
      <xdr:col>4</xdr:col>
      <xdr:colOff>394193</xdr:colOff>
      <xdr:row>54</xdr:row>
      <xdr:rowOff>97724</xdr:rowOff>
    </xdr:to>
    <xdr:sp macro="" textlink="Support!BB3">
      <xdr:nvSpPr>
        <xdr:cNvPr id="134" name="TextBox 133">
          <a:extLst>
            <a:ext uri="{FF2B5EF4-FFF2-40B4-BE49-F238E27FC236}">
              <a16:creationId xmlns:a16="http://schemas.microsoft.com/office/drawing/2014/main" id="{BE8068D3-856F-4131-96FC-C07D099354C9}"/>
            </a:ext>
          </a:extLst>
        </xdr:cNvPr>
        <xdr:cNvSpPr txBox="1"/>
      </xdr:nvSpPr>
      <xdr:spPr>
        <a:xfrm>
          <a:off x="2865120" y="970477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12E41F8-B32F-4B83-9EC4-462B1852083A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&gt;90 Days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608982</xdr:colOff>
      <xdr:row>51</xdr:row>
      <xdr:rowOff>76200</xdr:rowOff>
    </xdr:from>
    <xdr:to>
      <xdr:col>5</xdr:col>
      <xdr:colOff>748281</xdr:colOff>
      <xdr:row>53</xdr:row>
      <xdr:rowOff>130027</xdr:rowOff>
    </xdr:to>
    <xdr:sp macro="" textlink="Support!BD4">
      <xdr:nvSpPr>
        <xdr:cNvPr id="135" name="TextBox 134">
          <a:extLst>
            <a:ext uri="{FF2B5EF4-FFF2-40B4-BE49-F238E27FC236}">
              <a16:creationId xmlns:a16="http://schemas.microsoft.com/office/drawing/2014/main" id="{B1B851C3-33FD-4A32-81F5-545EFFC17322}"/>
            </a:ext>
          </a:extLst>
        </xdr:cNvPr>
        <xdr:cNvSpPr txBox="1"/>
      </xdr:nvSpPr>
      <xdr:spPr>
        <a:xfrm>
          <a:off x="4198002" y="940308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0826D1-0BE4-4B5E-97EB-04B6DD1EF42E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20.84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603613</xdr:colOff>
      <xdr:row>52</xdr:row>
      <xdr:rowOff>179228</xdr:rowOff>
    </xdr:from>
    <xdr:to>
      <xdr:col>5</xdr:col>
      <xdr:colOff>737093</xdr:colOff>
      <xdr:row>54</xdr:row>
      <xdr:rowOff>79762</xdr:rowOff>
    </xdr:to>
    <xdr:sp macro="" textlink="Support!BD3">
      <xdr:nvSpPr>
        <xdr:cNvPr id="136" name="TextBox 135">
          <a:extLst>
            <a:ext uri="{FF2B5EF4-FFF2-40B4-BE49-F238E27FC236}">
              <a16:creationId xmlns:a16="http://schemas.microsoft.com/office/drawing/2014/main" id="{6D2A6F2D-1980-4D38-88EC-56BFC95C1256}"/>
            </a:ext>
          </a:extLst>
        </xdr:cNvPr>
        <xdr:cNvSpPr txBox="1"/>
      </xdr:nvSpPr>
      <xdr:spPr>
        <a:xfrm>
          <a:off x="4191000" y="968953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59EFEA8-C895-475F-A4BD-C3BCDB12E555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&gt;180 Days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966033</xdr:colOff>
      <xdr:row>51</xdr:row>
      <xdr:rowOff>82187</xdr:rowOff>
    </xdr:from>
    <xdr:to>
      <xdr:col>6</xdr:col>
      <xdr:colOff>1105332</xdr:colOff>
      <xdr:row>53</xdr:row>
      <xdr:rowOff>139825</xdr:rowOff>
    </xdr:to>
    <xdr:sp macro="" textlink="Support!BF4">
      <xdr:nvSpPr>
        <xdr:cNvPr id="137" name="TextBox 136">
          <a:extLst>
            <a:ext uri="{FF2B5EF4-FFF2-40B4-BE49-F238E27FC236}">
              <a16:creationId xmlns:a16="http://schemas.microsoft.com/office/drawing/2014/main" id="{79538000-D6DF-4606-8C1F-AD27619AD7BD}"/>
            </a:ext>
          </a:extLst>
        </xdr:cNvPr>
        <xdr:cNvSpPr txBox="1"/>
      </xdr:nvSpPr>
      <xdr:spPr>
        <a:xfrm>
          <a:off x="5539122" y="941070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B213AD8-C1E1-495E-A0FF-0B7C3692FEAD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14.56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958487</xdr:colOff>
      <xdr:row>53</xdr:row>
      <xdr:rowOff>2879</xdr:rowOff>
    </xdr:from>
    <xdr:to>
      <xdr:col>6</xdr:col>
      <xdr:colOff>1095778</xdr:colOff>
      <xdr:row>54</xdr:row>
      <xdr:rowOff>89559</xdr:rowOff>
    </xdr:to>
    <xdr:sp macro="" textlink="Support!BF3">
      <xdr:nvSpPr>
        <xdr:cNvPr id="138" name="TextBox 137">
          <a:extLst>
            <a:ext uri="{FF2B5EF4-FFF2-40B4-BE49-F238E27FC236}">
              <a16:creationId xmlns:a16="http://schemas.microsoft.com/office/drawing/2014/main" id="{B1164A82-1AE1-4820-9958-6C4AA756AE87}"/>
            </a:ext>
          </a:extLst>
        </xdr:cNvPr>
        <xdr:cNvSpPr txBox="1"/>
      </xdr:nvSpPr>
      <xdr:spPr>
        <a:xfrm>
          <a:off x="5532120" y="969715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317F8FB-403C-466E-BEC6-33B78C64713F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&gt;365 Days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109481</xdr:colOff>
      <xdr:row>56</xdr:row>
      <xdr:rowOff>100149</xdr:rowOff>
    </xdr:from>
    <xdr:to>
      <xdr:col>3</xdr:col>
      <xdr:colOff>767987</xdr:colOff>
      <xdr:row>78</xdr:row>
      <xdr:rowOff>114300</xdr:rowOff>
    </xdr:to>
    <xdr:graphicFrame macro="">
      <xdr:nvGraphicFramePr>
        <xdr:cNvPr id="139" name="Chart 138">
          <a:extLst>
            <a:ext uri="{FF2B5EF4-FFF2-40B4-BE49-F238E27FC236}">
              <a16:creationId xmlns:a16="http://schemas.microsoft.com/office/drawing/2014/main" id="{69693401-095A-463D-845A-48AE854E3D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</xdr:col>
      <xdr:colOff>882287</xdr:colOff>
      <xdr:row>57</xdr:row>
      <xdr:rowOff>5987</xdr:rowOff>
    </xdr:from>
    <xdr:to>
      <xdr:col>6</xdr:col>
      <xdr:colOff>1110887</xdr:colOff>
      <xdr:row>78</xdr:row>
      <xdr:rowOff>62049</xdr:rowOff>
    </xdr:to>
    <xdr:graphicFrame macro="">
      <xdr:nvGraphicFramePr>
        <xdr:cNvPr id="140" name="Chart 139">
          <a:extLst>
            <a:ext uri="{FF2B5EF4-FFF2-40B4-BE49-F238E27FC236}">
              <a16:creationId xmlns:a16="http://schemas.microsoft.com/office/drawing/2014/main" id="{59A5B978-13A8-4A48-ACD0-4E347CB3F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80</xdr:row>
      <xdr:rowOff>176349</xdr:rowOff>
    </xdr:from>
    <xdr:to>
      <xdr:col>6</xdr:col>
      <xdr:colOff>1175113</xdr:colOff>
      <xdr:row>95</xdr:row>
      <xdr:rowOff>15239</xdr:rowOff>
    </xdr:to>
    <xdr:graphicFrame macro="">
      <xdr:nvGraphicFramePr>
        <xdr:cNvPr id="141" name="Chart 140">
          <a:extLst>
            <a:ext uri="{FF2B5EF4-FFF2-40B4-BE49-F238E27FC236}">
              <a16:creationId xmlns:a16="http://schemas.microsoft.com/office/drawing/2014/main" id="{9EF9B54F-7B3D-49D2-8C2B-4EDB88FC0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</xdr:col>
      <xdr:colOff>38100</xdr:colOff>
      <xdr:row>87</xdr:row>
      <xdr:rowOff>49530</xdr:rowOff>
    </xdr:from>
    <xdr:to>
      <xdr:col>4</xdr:col>
      <xdr:colOff>461010</xdr:colOff>
      <xdr:row>90</xdr:row>
      <xdr:rowOff>67435</xdr:rowOff>
    </xdr:to>
    <xdr:sp macro="" textlink="Support!AX4">
      <xdr:nvSpPr>
        <xdr:cNvPr id="59" name="TextBox 58">
          <a:extLst>
            <a:ext uri="{FF2B5EF4-FFF2-40B4-BE49-F238E27FC236}">
              <a16:creationId xmlns:a16="http://schemas.microsoft.com/office/drawing/2014/main" id="{462F25B1-7FE3-EFBD-24F1-D9C463473725}"/>
            </a:ext>
          </a:extLst>
        </xdr:cNvPr>
        <xdr:cNvSpPr txBox="1"/>
      </xdr:nvSpPr>
      <xdr:spPr>
        <a:xfrm>
          <a:off x="2726871" y="16148957"/>
          <a:ext cx="1436915" cy="5741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463A18F-B00B-46CE-BA0E-4750949E96C7}" type="TxLink">
            <a:rPr lang="en-US" sz="32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70.74</a:t>
          </a:fld>
          <a:endParaRPr lang="en-US" sz="32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53340</xdr:colOff>
      <xdr:row>90</xdr:row>
      <xdr:rowOff>14309</xdr:rowOff>
    </xdr:from>
    <xdr:to>
      <xdr:col>4</xdr:col>
      <xdr:colOff>369570</xdr:colOff>
      <xdr:row>91</xdr:row>
      <xdr:rowOff>179071</xdr:rowOff>
    </xdr:to>
    <xdr:sp macro="" textlink="Support!AX3">
      <xdr:nvSpPr>
        <xdr:cNvPr id="60" name="TextBox 59">
          <a:extLst>
            <a:ext uri="{FF2B5EF4-FFF2-40B4-BE49-F238E27FC236}">
              <a16:creationId xmlns:a16="http://schemas.microsoft.com/office/drawing/2014/main" id="{87CA5B77-7F56-7B61-EC1F-89129770AB53}"/>
            </a:ext>
          </a:extLst>
        </xdr:cNvPr>
        <xdr:cNvSpPr txBox="1"/>
      </xdr:nvSpPr>
      <xdr:spPr>
        <a:xfrm>
          <a:off x="2743200" y="16670541"/>
          <a:ext cx="1328057" cy="3492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3C82186-F419-4FF0-934F-A03A13A0D873}" type="TxLink">
            <a:rPr lang="en-US" sz="105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Stock Value</a:t>
          </a:fld>
          <a:endParaRPr lang="en-US" sz="105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965018</xdr:colOff>
      <xdr:row>1</xdr:row>
      <xdr:rowOff>112123</xdr:rowOff>
    </xdr:from>
    <xdr:to>
      <xdr:col>6</xdr:col>
      <xdr:colOff>1213213</xdr:colOff>
      <xdr:row>2</xdr:row>
      <xdr:rowOff>165462</xdr:rowOff>
    </xdr:to>
    <xdr:sp macro="" textlink="">
      <xdr:nvSpPr>
        <xdr:cNvPr id="58" name="Header_Text">
          <a:extLst>
            <a:ext uri="{FF2B5EF4-FFF2-40B4-BE49-F238E27FC236}">
              <a16:creationId xmlns:a16="http://schemas.microsoft.com/office/drawing/2014/main" id="{EE6555E7-BF51-455A-914C-65234699408C}"/>
            </a:ext>
          </a:extLst>
        </xdr:cNvPr>
        <xdr:cNvSpPr txBox="1"/>
      </xdr:nvSpPr>
      <xdr:spPr>
        <a:xfrm>
          <a:off x="5681254" y="298813"/>
          <a:ext cx="1260566" cy="241118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9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(Values</a:t>
          </a:r>
          <a:r>
            <a:rPr lang="en-IN" sz="900" b="0" baseline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 are in "Cr")</a:t>
          </a:r>
          <a:endParaRPr lang="en-IN" sz="900" b="0">
            <a:solidFill>
              <a:schemeClr val="bg1"/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5</xdr:col>
      <xdr:colOff>999853</xdr:colOff>
      <xdr:row>98</xdr:row>
      <xdr:rowOff>22317</xdr:rowOff>
    </xdr:from>
    <xdr:to>
      <xdr:col>6</xdr:col>
      <xdr:colOff>1251858</xdr:colOff>
      <xdr:row>99</xdr:row>
      <xdr:rowOff>66401</xdr:rowOff>
    </xdr:to>
    <xdr:sp macro="" textlink="">
      <xdr:nvSpPr>
        <xdr:cNvPr id="66" name="Header_Text">
          <a:extLst>
            <a:ext uri="{FF2B5EF4-FFF2-40B4-BE49-F238E27FC236}">
              <a16:creationId xmlns:a16="http://schemas.microsoft.com/office/drawing/2014/main" id="{04A93382-896E-4E17-8E7B-27F7865E746A}"/>
            </a:ext>
          </a:extLst>
        </xdr:cNvPr>
        <xdr:cNvSpPr txBox="1"/>
      </xdr:nvSpPr>
      <xdr:spPr>
        <a:xfrm>
          <a:off x="5716089" y="18316848"/>
          <a:ext cx="1264376" cy="232407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9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(Values</a:t>
          </a:r>
          <a:r>
            <a:rPr lang="en-IN" sz="900" b="0" baseline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 are in "Cr")</a:t>
          </a:r>
          <a:endParaRPr lang="en-IN" sz="900" b="0">
            <a:solidFill>
              <a:schemeClr val="bg1"/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6</xdr:col>
      <xdr:colOff>25582</xdr:colOff>
      <xdr:row>49</xdr:row>
      <xdr:rowOff>138251</xdr:rowOff>
    </xdr:from>
    <xdr:to>
      <xdr:col>7</xdr:col>
      <xdr:colOff>41911</xdr:colOff>
      <xdr:row>50</xdr:row>
      <xdr:rowOff>179613</xdr:rowOff>
    </xdr:to>
    <xdr:sp macro="" textlink="">
      <xdr:nvSpPr>
        <xdr:cNvPr id="68" name="Header_Text">
          <a:extLst>
            <a:ext uri="{FF2B5EF4-FFF2-40B4-BE49-F238E27FC236}">
              <a16:creationId xmlns:a16="http://schemas.microsoft.com/office/drawing/2014/main" id="{27C35FC3-2568-5631-C4B7-DF6D8936FB29}"/>
            </a:ext>
          </a:extLst>
        </xdr:cNvPr>
        <xdr:cNvSpPr txBox="1"/>
      </xdr:nvSpPr>
      <xdr:spPr>
        <a:xfrm>
          <a:off x="5756366" y="9286605"/>
          <a:ext cx="1270908" cy="22805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9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(Values</a:t>
          </a:r>
          <a:r>
            <a:rPr lang="en-IN" sz="900" b="0" baseline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 are in "Cr")</a:t>
          </a:r>
          <a:endParaRPr lang="en-IN" sz="900" b="0">
            <a:solidFill>
              <a:schemeClr val="bg1"/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12518</xdr:colOff>
      <xdr:row>96</xdr:row>
      <xdr:rowOff>101782</xdr:rowOff>
    </xdr:from>
    <xdr:to>
      <xdr:col>1</xdr:col>
      <xdr:colOff>384753</xdr:colOff>
      <xdr:row>99</xdr:row>
      <xdr:rowOff>16185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C0DBAB81-EB62-48CD-948E-ED534D0308DE}"/>
            </a:ext>
          </a:extLst>
        </xdr:cNvPr>
        <xdr:cNvGrpSpPr/>
      </xdr:nvGrpSpPr>
      <xdr:grpSpPr>
        <a:xfrm>
          <a:off x="12518" y="17475382"/>
          <a:ext cx="505585" cy="457328"/>
          <a:chOff x="306832" y="235973"/>
          <a:chExt cx="1659620" cy="1651821"/>
        </a:xfrm>
      </xdr:grpSpPr>
      <xdr:sp macro="" textlink="">
        <xdr:nvSpPr>
          <xdr:cNvPr id="71" name="Oval 70">
            <a:extLst>
              <a:ext uri="{FF2B5EF4-FFF2-40B4-BE49-F238E27FC236}">
                <a16:creationId xmlns:a16="http://schemas.microsoft.com/office/drawing/2014/main" id="{E3485F4E-8448-561E-4F38-4716F3A97BDC}"/>
              </a:ext>
            </a:extLst>
          </xdr:cNvPr>
          <xdr:cNvSpPr/>
        </xdr:nvSpPr>
        <xdr:spPr>
          <a:xfrm>
            <a:off x="306832" y="235973"/>
            <a:ext cx="1659620" cy="1651821"/>
          </a:xfrm>
          <a:prstGeom prst="ellipse">
            <a:avLst/>
          </a:prstGeom>
          <a:solidFill>
            <a:srgbClr val="0F3156"/>
          </a:solidFill>
          <a:ln>
            <a:solidFill>
              <a:srgbClr val="0F3156"/>
            </a:solidFill>
          </a:ln>
          <a:effectLst>
            <a:outerShdw blurRad="139700" dist="38100" dir="2700000" sx="103000" sy="103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22E6F971-4F6C-24C4-C9DE-0397EA27BC3E}"/>
              </a:ext>
            </a:extLst>
          </xdr:cNvPr>
          <xdr:cNvSpPr/>
        </xdr:nvSpPr>
        <xdr:spPr>
          <a:xfrm>
            <a:off x="529246" y="444909"/>
            <a:ext cx="1214791" cy="1233948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pic>
        <xdr:nvPicPr>
          <xdr:cNvPr id="73" name="Picture 72" descr="A logo with a black background&#10;&#10;AI-generated content may be incorrect.">
            <a:extLst>
              <a:ext uri="{FF2B5EF4-FFF2-40B4-BE49-F238E27FC236}">
                <a16:creationId xmlns:a16="http://schemas.microsoft.com/office/drawing/2014/main" id="{5A267DB8-568C-4A8F-60EA-8519A48A2B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1304" y="512041"/>
            <a:ext cx="962033" cy="962033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K ." refreshedDate="46087.670888078705" missingItemsLimit="0" createdVersion="8" refreshedVersion="8" minRefreshableVersion="3" recordCount="14" xr:uid="{9A6D50CB-BBBB-4F6D-962A-C83471EC6465}">
  <cacheSource type="worksheet">
    <worksheetSource name="Data"/>
  </cacheSource>
  <cacheFields count="7">
    <cacheField name="SL NO" numFmtId="0">
      <sharedItems containsSemiMixedTypes="0" containsString="0" containsNumber="1" containsInteger="1" minValue="1" maxValue="14"/>
    </cacheField>
    <cacheField name="Project Name" numFmtId="0">
      <sharedItems count="14">
        <s v="A"/>
        <s v="B"/>
        <s v="C"/>
        <s v="D"/>
        <s v="E"/>
        <s v="F"/>
        <s v="G"/>
        <s v="H"/>
        <s v="I"/>
        <s v="J"/>
        <s v="K"/>
        <s v="L"/>
        <s v="M"/>
        <s v="N"/>
      </sharedItems>
    </cacheField>
    <cacheField name="Stock Value" numFmtId="2">
      <sharedItems containsSemiMixedTypes="0" containsString="0" containsNumber="1" minValue="1.0000000000000001E-9" maxValue="6.8943668010000003"/>
    </cacheField>
    <cacheField name="&lt;90 Days" numFmtId="4">
      <sharedItems containsSemiMixedTypes="0" containsString="0" containsNumber="1" minValue="0" maxValue="5.3230683000000001"/>
    </cacheField>
    <cacheField name="&gt;90 Days" numFmtId="4">
      <sharedItems containsSemiMixedTypes="0" containsString="0" containsNumber="1" minValue="0" maxValue="1.0189693"/>
    </cacheField>
    <cacheField name="&gt;180 Days" numFmtId="4">
      <sharedItems containsSemiMixedTypes="0" containsString="0" containsNumber="1" minValue="0" maxValue="0.44"/>
    </cacheField>
    <cacheField name="&gt;365 Days" numFmtId="4">
      <sharedItems containsSemiMixedTypes="0" containsString="0" containsNumber="1" minValue="0" maxValue="0.2972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K ." refreshedDate="46087.670892708331" createdVersion="8" refreshedVersion="8" minRefreshableVersion="3" recordCount="14" xr:uid="{5F64A708-E2E3-43B8-A5F5-31EB1EAEA938}">
  <cacheSource type="worksheet">
    <worksheetSource name="Supplier_Data"/>
  </cacheSource>
  <cacheFields count="7">
    <cacheField name="SL NO" numFmtId="0">
      <sharedItems containsSemiMixedTypes="0" containsString="0" containsNumber="1" containsInteger="1" minValue="1" maxValue="14"/>
    </cacheField>
    <cacheField name="Supplier Name" numFmtId="0">
      <sharedItems count="14">
        <s v="Sup-1"/>
        <s v="Sup-2"/>
        <s v="Sup-3"/>
        <s v="Sup-4"/>
        <s v="Sup-5"/>
        <s v="Sup-6"/>
        <s v="Sup-7"/>
        <s v="Sup-8"/>
        <s v="Sup-9"/>
        <s v="Sup-10"/>
        <s v="Sup-11"/>
        <s v="Sup-12"/>
        <s v="Sup-13"/>
        <s v="Sup-14"/>
      </sharedItems>
    </cacheField>
    <cacheField name="Stock Value" numFmtId="2">
      <sharedItems containsSemiMixedTypes="0" containsString="0" containsNumber="1" minValue="3.79" maxValue="6.04"/>
    </cacheField>
    <cacheField name="&lt;90 Days" numFmtId="4">
      <sharedItems containsSemiMixedTypes="0" containsString="0" containsNumber="1" minValue="0.62" maxValue="3"/>
    </cacheField>
    <cacheField name="&gt;90 Days" numFmtId="4">
      <sharedItems containsSemiMixedTypes="0" containsString="0" containsNumber="1" minValue="0.85" maxValue="1.97"/>
    </cacheField>
    <cacheField name="&gt;180 Days" numFmtId="4">
      <sharedItems containsSemiMixedTypes="0" containsString="0" containsNumber="1" minValue="0.72" maxValue="2"/>
    </cacheField>
    <cacheField name="&gt;365 Days" numFmtId="4">
      <sharedItems containsSemiMixedTypes="0" containsString="0" containsNumber="1" minValue="0.51" maxValue="1.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n v="1"/>
    <x v="0"/>
    <n v="0.5"/>
    <n v="0.15"/>
    <n v="1.1067E-2"/>
    <n v="4.6115299999999998E-2"/>
    <n v="0.2972475"/>
  </r>
  <r>
    <n v="2"/>
    <x v="1"/>
    <n v="9.7446077000000006E-2"/>
    <n v="5.6852399999999997E-2"/>
    <n v="1.1215000000000001E-3"/>
    <n v="7.8703000000000002E-3"/>
    <n v="3.1601700000000003E-2"/>
  </r>
  <r>
    <n v="3"/>
    <x v="2"/>
    <n v="3.1414640000000001E-2"/>
    <n v="0"/>
    <n v="0"/>
    <n v="0"/>
    <n v="3.1414600000000001E-2"/>
  </r>
  <r>
    <n v="4"/>
    <x v="3"/>
    <n v="6.3607824090000005"/>
    <n v="3.9"/>
    <n v="1.0189693"/>
    <n v="0.30863550000000001"/>
    <n v="0.12974450000000001"/>
  </r>
  <r>
    <n v="5"/>
    <x v="4"/>
    <n v="0.72368731399999997"/>
    <n v="0.23727719999999999"/>
    <n v="9.1181100000000001E-2"/>
    <n v="7.7277600000000002E-2"/>
    <n v="0.26"/>
  </r>
  <r>
    <n v="6"/>
    <x v="5"/>
    <n v="1.4087898939999999"/>
    <n v="1.0900628000000001"/>
    <n v="3.76446E-2"/>
    <n v="0.14646400000000001"/>
    <n v="0.1346183"/>
  </r>
  <r>
    <n v="7"/>
    <x v="6"/>
    <n v="2.4053254E-2"/>
    <n v="0"/>
    <n v="0"/>
    <n v="0"/>
    <n v="2.1789800000000002E-2"/>
  </r>
  <r>
    <n v="8"/>
    <x v="7"/>
    <n v="3.0869184999999997E-2"/>
    <n v="0"/>
    <n v="0"/>
    <n v="0"/>
    <n v="3.08691E-2"/>
  </r>
  <r>
    <n v="9"/>
    <x v="8"/>
    <n v="1.0000000000000001E-9"/>
    <n v="0"/>
    <n v="0"/>
    <n v="0"/>
    <n v="0"/>
  </r>
  <r>
    <n v="10"/>
    <x v="9"/>
    <n v="7.6378570000000005E-3"/>
    <n v="0"/>
    <n v="0"/>
    <n v="0"/>
    <n v="0"/>
  </r>
  <r>
    <n v="11"/>
    <x v="10"/>
    <n v="9.5409000000000008E-5"/>
    <n v="0"/>
    <n v="0"/>
    <n v="0"/>
    <n v="0"/>
  </r>
  <r>
    <n v="12"/>
    <x v="11"/>
    <n v="0.22221566299999998"/>
    <n v="1.9595399999999999E-2"/>
    <n v="0.12"/>
    <n v="5.6798000000000001E-2"/>
    <n v="9.0258999999999999E-3"/>
  </r>
  <r>
    <n v="13"/>
    <x v="12"/>
    <n v="6.8943668010000003"/>
    <n v="5.3230683000000001"/>
    <n v="0.56723679999999999"/>
    <n v="0.44"/>
    <n v="0.28999999999999998"/>
  </r>
  <r>
    <n v="14"/>
    <x v="13"/>
    <n v="1.4484209E-2"/>
    <n v="0"/>
    <n v="0"/>
    <n v="0"/>
    <n v="1.0000000000000001E-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n v="1"/>
    <x v="0"/>
    <n v="5.4"/>
    <n v="3"/>
    <n v="1.01"/>
    <n v="0.87"/>
    <n v="0.52"/>
  </r>
  <r>
    <n v="2"/>
    <x v="1"/>
    <n v="5.93"/>
    <n v="1.79"/>
    <n v="0.85"/>
    <n v="1.88"/>
    <n v="1.41"/>
  </r>
  <r>
    <n v="3"/>
    <x v="2"/>
    <n v="4.96"/>
    <n v="0.92"/>
    <n v="1.26"/>
    <n v="1.49"/>
    <n v="1.29"/>
  </r>
  <r>
    <n v="4"/>
    <x v="3"/>
    <n v="3.79"/>
    <n v="0.75"/>
    <n v="0.96"/>
    <n v="0.72"/>
    <n v="1.36"/>
  </r>
  <r>
    <n v="5"/>
    <x v="4"/>
    <n v="4.42"/>
    <n v="0.9"/>
    <n v="1.84"/>
    <n v="0.97"/>
    <n v="0.71"/>
  </r>
  <r>
    <n v="6"/>
    <x v="5"/>
    <n v="5.9499999999999993"/>
    <n v="1.17"/>
    <n v="1.43"/>
    <n v="1.64"/>
    <n v="1.71"/>
  </r>
  <r>
    <n v="7"/>
    <x v="6"/>
    <n v="5.14"/>
    <n v="1.08"/>
    <n v="1.01"/>
    <n v="1.97"/>
    <n v="1.08"/>
  </r>
  <r>
    <n v="8"/>
    <x v="7"/>
    <n v="6.04"/>
    <n v="1.81"/>
    <n v="1.97"/>
    <n v="1.75"/>
    <n v="0.51"/>
  </r>
  <r>
    <n v="9"/>
    <x v="8"/>
    <n v="4.0999999999999996"/>
    <n v="0.77"/>
    <n v="1.44"/>
    <n v="1.1599999999999999"/>
    <n v="0.73"/>
  </r>
  <r>
    <n v="10"/>
    <x v="9"/>
    <n v="5.81"/>
    <n v="0.74"/>
    <n v="1.52"/>
    <n v="1.64"/>
    <n v="1.91"/>
  </r>
  <r>
    <n v="11"/>
    <x v="10"/>
    <n v="5.3100000000000005"/>
    <n v="1.48"/>
    <n v="1.55"/>
    <n v="1.18"/>
    <n v="1.1000000000000001"/>
  </r>
  <r>
    <n v="12"/>
    <x v="11"/>
    <n v="4.18"/>
    <n v="0.62"/>
    <n v="0.9"/>
    <n v="1.91"/>
    <n v="0.75"/>
  </r>
  <r>
    <n v="13"/>
    <x v="12"/>
    <n v="3.99"/>
    <n v="0.73"/>
    <n v="0.94"/>
    <n v="1.66"/>
    <n v="0.66"/>
  </r>
  <r>
    <n v="14"/>
    <x v="13"/>
    <n v="5.7200000000000006"/>
    <n v="1.1399999999999999"/>
    <n v="1.76"/>
    <n v="2"/>
    <n v="0.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462048-6379-41C3-9B7A-F870022B1D08}" name="PivotTable1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25">
  <location ref="B102:G117" firstHeaderRow="0" firstDataRow="1" firstDataCol="1"/>
  <pivotFields count="7">
    <pivotField compact="0" outline="0" showAll="0"/>
    <pivotField axis="axisRow" compact="0" outline="0" showAll="0" sortType="de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1"/>
  </rowFields>
  <rowItems count="15">
    <i>
      <x v="12"/>
    </i>
    <i>
      <x v="3"/>
    </i>
    <i>
      <x v="5"/>
    </i>
    <i>
      <x v="4"/>
    </i>
    <i>
      <x/>
    </i>
    <i>
      <x v="11"/>
    </i>
    <i>
      <x v="1"/>
    </i>
    <i>
      <x v="2"/>
    </i>
    <i>
      <x v="7"/>
    </i>
    <i>
      <x v="6"/>
    </i>
    <i>
      <x v="13"/>
    </i>
    <i>
      <x v="9"/>
    </i>
    <i>
      <x v="10"/>
    </i>
    <i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 Stock Value" fld="2" baseField="0" baseItem="0" numFmtId="2"/>
    <dataField name=" &lt;90 Days" fld="3" baseField="0" baseItem="0" numFmtId="4"/>
    <dataField name=" &gt;90 Days" fld="4" baseField="0" baseItem="0" numFmtId="4"/>
    <dataField name=" &gt;180 Days" fld="5" baseField="0" baseItem="0" numFmtId="4"/>
    <dataField name=" &gt;365 Days" fld="6" baseField="0" baseItem="0" numFmtId="4"/>
  </dataFields>
  <formats count="4"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">
      <pivotArea field="1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26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25">
      <pivotArea type="data" outline="0" fieldPosition="0">
        <references count="2">
          <reference field="4294967294" count="1" selected="0">
            <x v="3"/>
          </reference>
          <reference field="1" count="1" selected="0">
            <x v="0"/>
          </reference>
        </references>
      </pivotArea>
    </chartFormat>
    <chartFormat chart="9" format="2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4"/>
          </reference>
          <reference field="1" count="1" selected="0">
            <x v="12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2"/>
          </reference>
          <reference field="1" count="1" selected="0">
            <x v="12"/>
          </reference>
        </references>
      </pivotArea>
    </chartFormat>
    <chartFormat chart="22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32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22" format="33">
      <pivotArea type="data" outline="0" fieldPosition="0">
        <references count="2">
          <reference field="4294967294" count="1" selected="0">
            <x v="2"/>
          </reference>
          <reference field="1" count="1" selected="0">
            <x v="12"/>
          </reference>
        </references>
      </pivotArea>
    </chartFormat>
    <chartFormat chart="22" format="3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2" format="35">
      <pivotArea type="data" outline="0" fieldPosition="0">
        <references count="2">
          <reference field="4294967294" count="1" selected="0">
            <x v="3"/>
          </reference>
          <reference field="1" count="1" selected="0">
            <x v="0"/>
          </reference>
        </references>
      </pivotArea>
    </chartFormat>
    <chartFormat chart="22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2" format="37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22" format="38">
      <pivotArea type="data" outline="0" fieldPosition="0">
        <references count="2">
          <reference field="4294967294" count="1" selected="0">
            <x v="4"/>
          </reference>
          <reference field="1" count="1" selected="0">
            <x v="12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862341-D07C-4511-B2DD-6EAA34A51C9D}" name="PivotTable5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G4:G5" firstHeaderRow="1" firstDataRow="1" firstDataCol="0"/>
  <pivotFields count="7">
    <pivotField compact="0" outline="0" showAll="0"/>
    <pivotField compact="0" outline="0" showAll="0"/>
    <pivotField compact="0" numFmtId="2" outline="0" showAll="0"/>
    <pivotField dataField="1" compact="0" numFmtId="4" outline="0" showAll="0"/>
    <pivotField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&lt;90 Days" fld="3" baseField="0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92621-1C98-438B-A8E7-1785BD9913A5}" name="PivotTable6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K4:K5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dataField="1"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&gt;90 Days" fld="4" baseField="0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2465BA-EB7F-4592-BDC7-FEDE0138B2B9}" name="PivotTable10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12">
  <location ref="BU3:BY9" firstHeaderRow="0" firstDataRow="1" firstDataCol="1"/>
  <pivotFields count="7">
    <pivotField compact="0" outline="0" showAll="0"/>
    <pivotField axis="axisRow" compact="0" outline="0" showAll="0" measureFilter="1" sortType="ascending">
      <items count="15">
        <item x="0"/>
        <item x="9"/>
        <item x="10"/>
        <item x="11"/>
        <item x="12"/>
        <item x="13"/>
        <item x="1"/>
        <item x="2"/>
        <item x="3"/>
        <item x="4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1"/>
  </rowFields>
  <rowItems count="6">
    <i>
      <x v="10"/>
    </i>
    <i>
      <x v="2"/>
    </i>
    <i>
      <x v="6"/>
    </i>
    <i>
      <x v="12"/>
    </i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&lt;90 Days" fld="3" baseField="0" baseItem="0" numFmtId="4"/>
    <dataField name=" &gt;90 Days" fld="4" baseField="0" baseItem="0" numFmtId="4"/>
    <dataField name=" &gt;180 Days" fld="5" baseField="0" baseItem="0" numFmtId="4"/>
    <dataField name=" &gt;365 Days" fld="6" baseField="0" baseItem="0" numFmtId="4"/>
  </dataFields>
  <chartFormats count="9">
    <chartFormat chart="11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50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1" format="5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1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53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11" format="5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55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1" format="56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C343A-601D-4CBA-9A4E-37BC35B54AEF}" name="PivotTable12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AX3:AX4" firstHeaderRow="1" firstDataRow="1" firstDataCol="0"/>
  <pivotFields count="7">
    <pivotField compact="0" outline="0" showAll="0"/>
    <pivotField compact="0" outline="0" showAll="0" measureFilter="1"/>
    <pivotField dataField="1" compact="0" numFmtId="2" outline="0" showAll="0"/>
    <pivotField compact="0" numFmtId="4" outline="0" showAll="0"/>
    <pivotField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Stock Value" fld="2" baseField="0" baseItem="0" numFmtId="2"/>
  </dataFields>
  <chartFormats count="2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FB3306-CAA2-4CA0-84F4-1C1E56F4332D}" name="PivotTable7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O4:O5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compact="0" numFmtId="4" outline="0" showAll="0"/>
    <pivotField dataField="1" compact="0" numFmtId="4" outline="0" showAll="0"/>
    <pivotField compact="0" numFmtId="4" outline="0" showAll="0"/>
  </pivotFields>
  <rowItems count="1">
    <i/>
  </rowItems>
  <colItems count="1">
    <i/>
  </colItems>
  <dataFields count="1">
    <dataField name=" &gt;180 Days" fld="5" baseField="0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7B046E-B546-4B90-8CC9-86487D93F29C}" name="PivotTable3" cacheId="0" dataOnRows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8">
  <location ref="AT3:AU7" firstHeaderRow="1" firstDataRow="1" firstDataCol="1"/>
  <pivotFields count="7">
    <pivotField compact="0" outline="0" showAll="0"/>
    <pivotField compact="0" outline="0" showAll="0"/>
    <pivotField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-2"/>
  </rowFields>
  <rowItems count="4">
    <i>
      <x/>
    </i>
    <i i="1">
      <x v="1"/>
    </i>
    <i i="2">
      <x v="2"/>
    </i>
    <i i="3">
      <x v="3"/>
    </i>
  </rowItems>
  <colItems count="1">
    <i/>
  </colItems>
  <dataFields count="4">
    <dataField name=" &lt;90 Days" fld="3" baseField="0" baseItem="0" numFmtId="4"/>
    <dataField name=" &gt;365 Days" fld="6" baseField="0" baseItem="0" numFmtId="4"/>
    <dataField name=" &gt;180 Days" fld="5" baseField="0" baseItem="0" numFmtId="4"/>
    <dataField name=" &gt;90 Days" fld="4" baseField="0" baseItem="0" numFmtId="4"/>
  </dataFields>
  <chartFormats count="20">
    <chartFormat chart="0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54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55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5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6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6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64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65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CC880-DDF7-4B0E-AB41-CED68688599B}" name="PivotTable14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AZ3:AZ4" firstHeaderRow="1" firstDataRow="1" firstDataCol="0"/>
  <pivotFields count="7">
    <pivotField compact="0" outline="0" showAll="0"/>
    <pivotField compact="0" outline="0" showAll="0"/>
    <pivotField compact="0" numFmtId="2" outline="0" showAll="0"/>
    <pivotField dataField="1" compact="0" numFmtId="4" outline="0" showAll="0"/>
    <pivotField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&lt;90 Days" fld="3" baseField="0" baseItem="0" numFmtId="4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924570-B67D-4817-BCB3-1DD5CB17CD94}" name="PivotTable8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R4:R5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compact="0" numFmtId="4" outline="0" showAll="0"/>
    <pivotField compact="0" numFmtId="4" outline="0" showAll="0"/>
    <pivotField dataField="1" compact="0" numFmtId="4" outline="0" showAll="0"/>
  </pivotFields>
  <rowItems count="1">
    <i/>
  </rowItems>
  <colItems count="1">
    <i/>
  </colItems>
  <dataFields count="1">
    <dataField name=" &gt;365 Days" fld="6" baseField="0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F55559-9B2D-49C2-A940-BECFDE41B527}" name="PivotTable2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25">
  <location ref="AC3:AG9" firstHeaderRow="0" firstDataRow="1" firstDataCol="1"/>
  <pivotFields count="7">
    <pivotField compact="0" outline="0" showAll="0"/>
    <pivotField axis="axisRow" compact="0" outline="0" showAll="0" measureFilter="1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1"/>
  </rowFields>
  <rowItems count="6">
    <i>
      <x/>
    </i>
    <i>
      <x v="4"/>
    </i>
    <i>
      <x v="5"/>
    </i>
    <i>
      <x v="3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&lt;90 Days" fld="3" baseField="0" baseItem="0" numFmtId="4"/>
    <dataField name=" &gt;90 Days" fld="4" baseField="0" baseItem="0" numFmtId="4"/>
    <dataField name=" &gt;180 Days" fld="5" baseField="0" baseItem="0" numFmtId="4"/>
    <dataField name=" &gt;365 Days" fld="6" baseField="0" baseItem="0" numFmtId="4"/>
  </dataFields>
  <chartFormats count="2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5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9" format="26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3"/>
          </reference>
          <reference field="1" count="1" selected="0">
            <x v="12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chartFormat>
    <chartFormat chart="2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3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22" format="33">
      <pivotArea type="data" outline="0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chartFormat>
    <chartFormat chart="2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35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22" format="3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2" format="37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22" format="38">
      <pivotArea type="data" outline="0" fieldPosition="0">
        <references count="2">
          <reference field="4294967294" count="1" selected="0">
            <x v="3"/>
          </reference>
          <reference field="1" count="1" selected="0">
            <x v="12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F3AC2A-35A7-4B0B-839D-E5F56EED75AE}" name="PivotTable16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BD3:BD4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compact="0" numFmtId="4" outline="0" showAll="0"/>
    <pivotField dataField="1" compact="0" numFmtId="4" outline="0" showAll="0"/>
    <pivotField compact="0" numFmtId="4" outline="0" showAll="0"/>
  </pivotFields>
  <rowItems count="1">
    <i/>
  </rowItems>
  <colItems count="1">
    <i/>
  </colItems>
  <dataFields count="1">
    <dataField name=" &gt;180 Days" fld="5" baseField="0" baseItem="0" numFmtId="4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7A5A7B-22BD-4474-95D6-1566368B7609}" name="PivotTable17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BF3:BF4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compact="0" numFmtId="4" outline="0" showAll="0"/>
    <pivotField compact="0" numFmtId="4" outline="0" showAll="0"/>
    <pivotField dataField="1" compact="0" numFmtId="4" outline="0" showAll="0"/>
  </pivotFields>
  <rowItems count="1">
    <i/>
  </rowItems>
  <colItems count="1">
    <i/>
  </colItems>
  <dataFields count="1">
    <dataField name=" &gt;365 Days" fld="6" baseField="0" baseItem="0" numFmtId="4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43B82-D498-4F26-8B90-A256EAC9A122}" name="PivotTable15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BB3:BB4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dataField="1"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&gt;90 Days" fld="4" baseField="0" baseItem="0" numFmtId="4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5E8088-3929-4869-AB76-A031647400BE}" name="PivotTable11" cacheId="1" dataOnRows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12">
  <location ref="CE3:CF7" firstHeaderRow="1" firstDataRow="1" firstDataCol="1"/>
  <pivotFields count="7">
    <pivotField compact="0" outline="0" showAll="0"/>
    <pivotField compact="0" outline="0" showAll="0"/>
    <pivotField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-2"/>
  </rowFields>
  <rowItems count="4">
    <i>
      <x/>
    </i>
    <i i="1">
      <x v="1"/>
    </i>
    <i i="2">
      <x v="2"/>
    </i>
    <i i="3">
      <x v="3"/>
    </i>
  </rowItems>
  <colItems count="1">
    <i/>
  </colItems>
  <dataFields count="4">
    <dataField name=" &gt;90 Days" fld="4" baseField="0" baseItem="0" numFmtId="4"/>
    <dataField name=" &gt;365 Days" fld="6" baseField="0" baseItem="0" numFmtId="4"/>
    <dataField name=" &gt;180 Days" fld="5" baseField="0" baseItem="0" numFmtId="4"/>
    <dataField name=" &lt;90 Days" fld="3" baseField="0" baseItem="0" numFmtId="4"/>
  </dataFields>
  <chartFormats count="9">
    <chartFormat chart="9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3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8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49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77091D-25A7-4ACA-BADC-A678BB63B43D}" name="PivotTable4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B4:B5" firstHeaderRow="1" firstDataRow="1" firstDataCol="0"/>
  <pivotFields count="7">
    <pivotField compact="0" outline="0" showAll="0"/>
    <pivotField compact="0" outline="0" showAll="0"/>
    <pivotField dataField="1" compact="0" numFmtId="2" outline="0" showAll="0"/>
    <pivotField compact="0" numFmtId="4" outline="0" showAll="0"/>
    <pivotField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Total Stock Value" fld="2" baseField="0" baseItem="0" numFmtId="2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62C41-8F0F-44C0-BB1B-542921CA0F4C}" name="PivotTable1" cacheId="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 chartFormat="11">
  <location ref="Y3:Z14" firstHeaderRow="1" firstDataRow="1" firstDataCol="1"/>
  <pivotFields count="7">
    <pivotField compact="0" outline="0" showAll="0"/>
    <pivotField axis="axisRow" compact="0" outline="0" showAll="0" measureFilter="1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numFmtId="2" outline="0" showAll="0"/>
    <pivotField compact="0" numFmtId="4" outline="0" showAll="0"/>
    <pivotField compact="0" numFmtId="4" outline="0" showAll="0"/>
    <pivotField compact="0" numFmtId="4" outline="0" showAll="0"/>
    <pivotField compact="0" numFmtId="4" outline="0" showAll="0"/>
  </pivotFields>
  <rowFields count="1">
    <field x="1"/>
  </rowFields>
  <rowItems count="11">
    <i>
      <x v="6"/>
    </i>
    <i>
      <x v="7"/>
    </i>
    <i>
      <x v="2"/>
    </i>
    <i>
      <x v="1"/>
    </i>
    <i>
      <x v="11"/>
    </i>
    <i>
      <x/>
    </i>
    <i>
      <x v="4"/>
    </i>
    <i>
      <x v="5"/>
    </i>
    <i>
      <x v="3"/>
    </i>
    <i>
      <x v="12"/>
    </i>
    <i t="grand">
      <x/>
    </i>
  </rowItems>
  <colItems count="1">
    <i/>
  </colItems>
  <dataFields count="1">
    <dataField name=" Stock Value" fld="2" baseField="0" baseItem="0" numFmtId="2"/>
  </dataField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1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7F195-010E-4248-B04C-2050E662824D}" name="PivotTable9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BO3:BP14" firstHeaderRow="1" firstDataRow="1" firstDataCol="1"/>
  <pivotFields count="7">
    <pivotField compact="0" outline="0" showAll="0"/>
    <pivotField axis="axisRow" compact="0" outline="0" showAll="0" measureFilter="1">
      <items count="15">
        <item x="0"/>
        <item x="9"/>
        <item x="10"/>
        <item x="11"/>
        <item x="12"/>
        <item x="13"/>
        <item x="1"/>
        <item x="2"/>
        <item x="3"/>
        <item x="4"/>
        <item x="5"/>
        <item x="6"/>
        <item x="7"/>
        <item x="8"/>
        <item t="default"/>
      </items>
    </pivotField>
    <pivotField dataField="1" compact="0" numFmtId="2" outline="0" showAll="0"/>
    <pivotField compact="0" numFmtId="4" outline="0" showAll="0"/>
    <pivotField compact="0" numFmtId="4" outline="0" showAll="0"/>
    <pivotField compact="0" numFmtId="4" outline="0" showAll="0"/>
    <pivotField compact="0" numFmtId="4" outline="0" showAll="0"/>
  </pivotFields>
  <rowFields count="1">
    <field x="1"/>
  </rowFields>
  <rowItems count="11">
    <i>
      <x/>
    </i>
    <i>
      <x v="1"/>
    </i>
    <i>
      <x v="2"/>
    </i>
    <i>
      <x v="5"/>
    </i>
    <i>
      <x v="6"/>
    </i>
    <i>
      <x v="7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 Stock Value" fld="2" baseField="0" baseItem="0" numFmtId="2"/>
  </dataFields>
  <chartFormats count="2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4C15FB-A682-4664-9FA0-CEDC9BB505EE}" name="Data" displayName="Data" ref="A1:G15" totalsRowShown="0" headerRowDxfId="23" dataDxfId="21" headerRowBorderDxfId="22" tableBorderDxfId="20" totalsRowBorderDxfId="19">
  <tableColumns count="7">
    <tableColumn id="1" xr3:uid="{437F1E58-2E4C-4AB9-8A62-93FE999909CA}" name="SL NO" dataDxfId="18"/>
    <tableColumn id="2" xr3:uid="{CFC517F4-4AC0-43C6-BD66-4A451B196295}" name="Project Name" dataDxfId="17"/>
    <tableColumn id="3" xr3:uid="{0430EC65-91C5-438C-9C8A-888A1B265423}" name="Stock Value" dataDxfId="16"/>
    <tableColumn id="4" xr3:uid="{CED8166D-97F1-4DF6-AEED-1152E0568408}" name="&lt;90 Days" dataDxfId="15"/>
    <tableColumn id="5" xr3:uid="{B1E401C0-F238-47A7-8DEC-BFBF7B302367}" name="&gt;90 Days" dataDxfId="14"/>
    <tableColumn id="6" xr3:uid="{C31E386C-A644-44B1-9FE0-28AD13CE78B4}" name="&gt;180 Days" dataDxfId="13"/>
    <tableColumn id="7" xr3:uid="{BB2E683C-09C1-4050-8398-B36B49E81724}" name="&gt;365 Days" dataDxfId="12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9231CD-020B-4B0C-8F98-D253EF66C69A}" name="Supplier_Data" displayName="Supplier_Data" ref="A1:G15" totalsRowShown="0" headerRowDxfId="11" dataDxfId="9" headerRowBorderDxfId="10" tableBorderDxfId="8" totalsRowBorderDxfId="7">
  <tableColumns count="7">
    <tableColumn id="1" xr3:uid="{3A30876B-3EBE-4F33-8F6A-B2E80C3F9B75}" name="SL NO" dataDxfId="6"/>
    <tableColumn id="2" xr3:uid="{F9FD002E-2CAE-47F5-A571-FFCF8B9139F0}" name="Supplier Name" dataDxfId="5"/>
    <tableColumn id="3" xr3:uid="{15F8652F-075D-4C2F-B6F3-C67DBF49AB76}" name="Stock Value" dataDxfId="4"/>
    <tableColumn id="4" xr3:uid="{F1DFFCB6-AE89-44E0-B9B8-80BC2F5237BE}" name="&lt;90 Days" dataDxfId="3"/>
    <tableColumn id="5" xr3:uid="{7B3B30B7-D38B-4241-A880-C04A7D81557F}" name="&gt;90 Days" dataDxfId="2"/>
    <tableColumn id="6" xr3:uid="{70ECBBBC-1773-49AD-AF8E-36E04F5B651B}" name="&gt;180 Days" dataDxfId="1"/>
    <tableColumn id="7" xr3:uid="{78AA4877-AF3D-41E3-89CA-E5F577919D77}" name="&gt;365 Days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lue">
    <a:dk1>
      <a:sysClr val="windowText" lastClr="000000"/>
    </a:dk1>
    <a:lt1>
      <a:sysClr val="window" lastClr="FFFFFF"/>
    </a:lt1>
    <a:dk2>
      <a:srgbClr val="17406D"/>
    </a:dk2>
    <a:lt2>
      <a:srgbClr val="DBEFF9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4503D41-00FD-43DB-A308-5543F0A93C59}">
  <we:reference id="WA200009404" version="1.0.0.8" store="Omex" storeType="OMEX"/>
  <we:alternateReferences>
    <we:reference id="WA200009404" version="1.0.0.8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ivotTable" Target="../pivotTables/pivotTable14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1848E-6BE8-434A-9EA8-0E45DF2C6A8C}">
  <sheetPr codeName="Sheet1"/>
  <dimension ref="B102:G123"/>
  <sheetViews>
    <sheetView showGridLines="0" zoomScaleNormal="100" workbookViewId="0">
      <selection activeCell="K12" sqref="K12"/>
    </sheetView>
  </sheetViews>
  <sheetFormatPr defaultRowHeight="14.25"/>
  <cols>
    <col min="1" max="1" width="1.75" customWidth="1"/>
    <col min="2" max="2" width="22" style="18" customWidth="1"/>
    <col min="3" max="6" width="14.25" customWidth="1"/>
    <col min="7" max="7" width="17.75" customWidth="1"/>
    <col min="8" max="8" width="6.875" customWidth="1"/>
    <col min="10" max="10" width="15.75" customWidth="1"/>
    <col min="15" max="15" width="3.25" customWidth="1"/>
  </cols>
  <sheetData>
    <row r="102" spans="2:7" ht="15">
      <c r="B102" s="21" t="s">
        <v>1</v>
      </c>
      <c r="C102" s="22" t="s">
        <v>44</v>
      </c>
      <c r="D102" s="22" t="s">
        <v>23</v>
      </c>
      <c r="E102" s="22" t="s">
        <v>24</v>
      </c>
      <c r="F102" s="22" t="s">
        <v>25</v>
      </c>
      <c r="G102" s="22" t="s">
        <v>26</v>
      </c>
    </row>
    <row r="103" spans="2:7">
      <c r="B103" t="s">
        <v>19</v>
      </c>
      <c r="C103" s="19">
        <v>6.8943668010000003</v>
      </c>
      <c r="D103" s="20">
        <v>5.3230683000000001</v>
      </c>
      <c r="E103" s="20">
        <v>0.56723679999999999</v>
      </c>
      <c r="F103" s="20">
        <v>0.44</v>
      </c>
      <c r="G103" s="20">
        <v>0.28999999999999998</v>
      </c>
    </row>
    <row r="104" spans="2:7">
      <c r="B104" t="s">
        <v>10</v>
      </c>
      <c r="C104" s="19">
        <v>6.3607824090000005</v>
      </c>
      <c r="D104" s="20">
        <v>3.9</v>
      </c>
      <c r="E104" s="20">
        <v>1.0189693</v>
      </c>
      <c r="F104" s="20">
        <v>0.30863550000000001</v>
      </c>
      <c r="G104" s="20">
        <v>0.12974450000000001</v>
      </c>
    </row>
    <row r="105" spans="2:7">
      <c r="B105" t="s">
        <v>12</v>
      </c>
      <c r="C105" s="19">
        <v>1.4087898939999999</v>
      </c>
      <c r="D105" s="20">
        <v>1.0900628000000001</v>
      </c>
      <c r="E105" s="20">
        <v>3.76446E-2</v>
      </c>
      <c r="F105" s="20">
        <v>0.14646400000000001</v>
      </c>
      <c r="G105" s="20">
        <v>0.1346183</v>
      </c>
    </row>
    <row r="106" spans="2:7">
      <c r="B106" t="s">
        <v>11</v>
      </c>
      <c r="C106" s="19">
        <v>0.72368731399999997</v>
      </c>
      <c r="D106" s="20">
        <v>0.23727719999999999</v>
      </c>
      <c r="E106" s="20">
        <v>9.1181100000000001E-2</v>
      </c>
      <c r="F106" s="20">
        <v>7.7277600000000002E-2</v>
      </c>
      <c r="G106" s="20">
        <v>0.26</v>
      </c>
    </row>
    <row r="107" spans="2:7">
      <c r="B107" t="s">
        <v>7</v>
      </c>
      <c r="C107" s="19">
        <v>0.5</v>
      </c>
      <c r="D107" s="20">
        <v>0.15</v>
      </c>
      <c r="E107" s="20">
        <v>1.1067E-2</v>
      </c>
      <c r="F107" s="20">
        <v>4.6115299999999998E-2</v>
      </c>
      <c r="G107" s="20">
        <v>0.2972475</v>
      </c>
    </row>
    <row r="108" spans="2:7">
      <c r="B108" t="s">
        <v>18</v>
      </c>
      <c r="C108" s="19">
        <v>0.22221566299999998</v>
      </c>
      <c r="D108" s="20">
        <v>1.9595399999999999E-2</v>
      </c>
      <c r="E108" s="20">
        <v>0.12</v>
      </c>
      <c r="F108" s="20">
        <v>5.6798000000000001E-2</v>
      </c>
      <c r="G108" s="20">
        <v>9.0258999999999999E-3</v>
      </c>
    </row>
    <row r="109" spans="2:7">
      <c r="B109" t="s">
        <v>8</v>
      </c>
      <c r="C109" s="19">
        <v>9.7446077000000006E-2</v>
      </c>
      <c r="D109" s="20">
        <v>5.6852399999999997E-2</v>
      </c>
      <c r="E109" s="20">
        <v>1.1215000000000001E-3</v>
      </c>
      <c r="F109" s="20">
        <v>7.8703000000000002E-3</v>
      </c>
      <c r="G109" s="20">
        <v>3.1601700000000003E-2</v>
      </c>
    </row>
    <row r="110" spans="2:7">
      <c r="B110" t="s">
        <v>9</v>
      </c>
      <c r="C110" s="19">
        <v>3.1414640000000001E-2</v>
      </c>
      <c r="D110" s="20">
        <v>0</v>
      </c>
      <c r="E110" s="20">
        <v>0</v>
      </c>
      <c r="F110" s="20">
        <v>0</v>
      </c>
      <c r="G110" s="20">
        <v>3.1414600000000001E-2</v>
      </c>
    </row>
    <row r="111" spans="2:7">
      <c r="B111" t="s">
        <v>14</v>
      </c>
      <c r="C111" s="19">
        <v>3.0869184999999997E-2</v>
      </c>
      <c r="D111" s="20">
        <v>0</v>
      </c>
      <c r="E111" s="20">
        <v>0</v>
      </c>
      <c r="F111" s="20">
        <v>0</v>
      </c>
      <c r="G111" s="20">
        <v>3.08691E-2</v>
      </c>
    </row>
    <row r="112" spans="2:7">
      <c r="B112" t="s">
        <v>13</v>
      </c>
      <c r="C112" s="19">
        <v>2.4053254E-2</v>
      </c>
      <c r="D112" s="20">
        <v>0</v>
      </c>
      <c r="E112" s="20">
        <v>0</v>
      </c>
      <c r="F112" s="20">
        <v>0</v>
      </c>
      <c r="G112" s="20">
        <v>2.1789800000000002E-2</v>
      </c>
    </row>
    <row r="113" spans="2:7">
      <c r="B113" t="s">
        <v>20</v>
      </c>
      <c r="C113" s="19">
        <v>1.4484209E-2</v>
      </c>
      <c r="D113" s="20">
        <v>0</v>
      </c>
      <c r="E113" s="20">
        <v>0</v>
      </c>
      <c r="F113" s="20">
        <v>0</v>
      </c>
      <c r="G113" s="20">
        <v>1.0000000000000001E-9</v>
      </c>
    </row>
    <row r="114" spans="2:7">
      <c r="B114" t="s">
        <v>16</v>
      </c>
      <c r="C114" s="19">
        <v>7.6378570000000005E-3</v>
      </c>
      <c r="D114" s="20">
        <v>0</v>
      </c>
      <c r="E114" s="20">
        <v>0</v>
      </c>
      <c r="F114" s="20">
        <v>0</v>
      </c>
      <c r="G114" s="20">
        <v>0</v>
      </c>
    </row>
    <row r="115" spans="2:7">
      <c r="B115" t="s">
        <v>17</v>
      </c>
      <c r="C115" s="19">
        <v>9.5409000000000008E-5</v>
      </c>
      <c r="D115" s="20">
        <v>0</v>
      </c>
      <c r="E115" s="20">
        <v>0</v>
      </c>
      <c r="F115" s="20">
        <v>0</v>
      </c>
      <c r="G115" s="20">
        <v>0</v>
      </c>
    </row>
    <row r="116" spans="2:7">
      <c r="B116" t="s">
        <v>15</v>
      </c>
      <c r="C116" s="19">
        <v>1.0000000000000001E-9</v>
      </c>
      <c r="D116" s="20">
        <v>0</v>
      </c>
      <c r="E116" s="20">
        <v>0</v>
      </c>
      <c r="F116" s="20">
        <v>0</v>
      </c>
      <c r="G116" s="20">
        <v>0</v>
      </c>
    </row>
    <row r="117" spans="2:7">
      <c r="B117" t="s">
        <v>21</v>
      </c>
      <c r="C117" s="19">
        <v>16.315842713000002</v>
      </c>
      <c r="D117" s="20">
        <v>10.7768561</v>
      </c>
      <c r="E117" s="20">
        <v>1.8472202999999996</v>
      </c>
      <c r="F117" s="20">
        <v>1.0831607000000001</v>
      </c>
      <c r="G117" s="20">
        <v>1.236311401</v>
      </c>
    </row>
    <row r="119" spans="2:7">
      <c r="B119"/>
    </row>
    <row r="120" spans="2:7">
      <c r="B120"/>
    </row>
    <row r="121" spans="2:7">
      <c r="B121"/>
    </row>
    <row r="122" spans="2:7">
      <c r="B122"/>
    </row>
    <row r="123" spans="2:7">
      <c r="B123"/>
    </row>
  </sheetData>
  <sheetProtection pivotTables="0"/>
  <pageMargins left="0.25" right="0.1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363B-739E-4B4A-82C1-973B8170CF8A}">
  <sheetPr codeName="Sheet2"/>
  <dimension ref="A1:G15"/>
  <sheetViews>
    <sheetView showGridLines="0" tabSelected="1" workbookViewId="0">
      <selection activeCell="D19" sqref="D19"/>
    </sheetView>
  </sheetViews>
  <sheetFormatPr defaultRowHeight="14.25"/>
  <cols>
    <col min="1" max="1" width="17.25" customWidth="1"/>
    <col min="2" max="2" width="14.125" customWidth="1"/>
    <col min="3" max="7" width="17.25" customWidth="1"/>
    <col min="8" max="8" width="5.75" customWidth="1"/>
    <col min="9" max="9" width="5.875" customWidth="1"/>
    <col min="10" max="10" width="6.875" customWidth="1"/>
    <col min="11" max="11" width="4.5" customWidth="1"/>
    <col min="12" max="12" width="4.875" customWidth="1"/>
    <col min="13" max="13" width="7.5" customWidth="1"/>
    <col min="14" max="15" width="6.25" customWidth="1"/>
  </cols>
  <sheetData>
    <row r="1" spans="1:7" ht="15" customHeight="1">
      <c r="A1" s="6" t="s">
        <v>0</v>
      </c>
      <c r="B1" s="7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9" t="s">
        <v>6</v>
      </c>
    </row>
    <row r="2" spans="1:7" ht="15" customHeight="1">
      <c r="A2" s="4">
        <v>1</v>
      </c>
      <c r="B2" s="1" t="s">
        <v>7</v>
      </c>
      <c r="C2" s="2">
        <v>0.5</v>
      </c>
      <c r="D2" s="3">
        <v>0.15</v>
      </c>
      <c r="E2" s="3">
        <v>1.1067E-2</v>
      </c>
      <c r="F2" s="3">
        <v>4.6115299999999998E-2</v>
      </c>
      <c r="G2" s="5">
        <v>0.2972475</v>
      </c>
    </row>
    <row r="3" spans="1:7" ht="15" customHeight="1">
      <c r="A3" s="4">
        <v>2</v>
      </c>
      <c r="B3" s="1" t="s">
        <v>8</v>
      </c>
      <c r="C3" s="2">
        <v>9.7446077000000006E-2</v>
      </c>
      <c r="D3" s="3">
        <v>5.6852399999999997E-2</v>
      </c>
      <c r="E3" s="3">
        <v>1.1215000000000001E-3</v>
      </c>
      <c r="F3" s="3">
        <v>7.8703000000000002E-3</v>
      </c>
      <c r="G3" s="5">
        <v>3.1601700000000003E-2</v>
      </c>
    </row>
    <row r="4" spans="1:7" ht="15" customHeight="1">
      <c r="A4" s="4">
        <v>3</v>
      </c>
      <c r="B4" s="1" t="s">
        <v>9</v>
      </c>
      <c r="C4" s="2">
        <v>3.1414640000000001E-2</v>
      </c>
      <c r="D4" s="3">
        <v>0</v>
      </c>
      <c r="E4" s="3">
        <v>0</v>
      </c>
      <c r="F4" s="3">
        <v>0</v>
      </c>
      <c r="G4" s="5">
        <v>3.1414600000000001E-2</v>
      </c>
    </row>
    <row r="5" spans="1:7" ht="15" customHeight="1">
      <c r="A5" s="4">
        <v>4</v>
      </c>
      <c r="B5" s="1" t="s">
        <v>10</v>
      </c>
      <c r="C5" s="2">
        <v>6.3607824090000005</v>
      </c>
      <c r="D5" s="3">
        <v>3.9</v>
      </c>
      <c r="E5" s="3">
        <v>1.0189693</v>
      </c>
      <c r="F5" s="3">
        <v>0.30863550000000001</v>
      </c>
      <c r="G5" s="5">
        <v>0.12974450000000001</v>
      </c>
    </row>
    <row r="6" spans="1:7" ht="15" customHeight="1">
      <c r="A6" s="4">
        <v>5</v>
      </c>
      <c r="B6" s="1" t="s">
        <v>11</v>
      </c>
      <c r="C6" s="2">
        <v>0.72368731399999997</v>
      </c>
      <c r="D6" s="3">
        <v>0.23727719999999999</v>
      </c>
      <c r="E6" s="3">
        <v>9.1181100000000001E-2</v>
      </c>
      <c r="F6" s="3">
        <v>7.7277600000000002E-2</v>
      </c>
      <c r="G6" s="5">
        <v>0.26</v>
      </c>
    </row>
    <row r="7" spans="1:7" ht="15" customHeight="1">
      <c r="A7" s="4">
        <v>6</v>
      </c>
      <c r="B7" s="1" t="s">
        <v>12</v>
      </c>
      <c r="C7" s="2">
        <v>1.4087898939999999</v>
      </c>
      <c r="D7" s="3">
        <v>1.0900628000000001</v>
      </c>
      <c r="E7" s="3">
        <v>3.76446E-2</v>
      </c>
      <c r="F7" s="3">
        <v>0.14646400000000001</v>
      </c>
      <c r="G7" s="5">
        <v>0.1346183</v>
      </c>
    </row>
    <row r="8" spans="1:7" ht="15" customHeight="1">
      <c r="A8" s="4">
        <v>7</v>
      </c>
      <c r="B8" s="1" t="s">
        <v>13</v>
      </c>
      <c r="C8" s="2">
        <v>2.4053254E-2</v>
      </c>
      <c r="D8" s="3">
        <v>0</v>
      </c>
      <c r="E8" s="3">
        <v>0</v>
      </c>
      <c r="F8" s="3">
        <v>0</v>
      </c>
      <c r="G8" s="5">
        <v>2.1789800000000002E-2</v>
      </c>
    </row>
    <row r="9" spans="1:7" ht="15" customHeight="1">
      <c r="A9" s="4">
        <v>8</v>
      </c>
      <c r="B9" s="1" t="s">
        <v>14</v>
      </c>
      <c r="C9" s="2">
        <v>3.0869184999999997E-2</v>
      </c>
      <c r="D9" s="3">
        <v>0</v>
      </c>
      <c r="E9" s="3">
        <v>0</v>
      </c>
      <c r="F9" s="3">
        <v>0</v>
      </c>
      <c r="G9" s="5">
        <v>3.08691E-2</v>
      </c>
    </row>
    <row r="10" spans="1:7" ht="15" customHeight="1">
      <c r="A10" s="4">
        <v>9</v>
      </c>
      <c r="B10" s="1" t="s">
        <v>15</v>
      </c>
      <c r="C10" s="2">
        <v>1.0000000000000001E-9</v>
      </c>
      <c r="D10" s="3">
        <v>0</v>
      </c>
      <c r="E10" s="3">
        <v>0</v>
      </c>
      <c r="F10" s="3">
        <v>0</v>
      </c>
      <c r="G10" s="5">
        <v>0</v>
      </c>
    </row>
    <row r="11" spans="1:7" ht="15" customHeight="1">
      <c r="A11" s="4">
        <v>10</v>
      </c>
      <c r="B11" s="1" t="s">
        <v>16</v>
      </c>
      <c r="C11" s="2">
        <v>7.6378570000000005E-3</v>
      </c>
      <c r="D11" s="3">
        <v>0</v>
      </c>
      <c r="E11" s="3">
        <v>0</v>
      </c>
      <c r="F11" s="3">
        <v>0</v>
      </c>
      <c r="G11" s="5">
        <v>0</v>
      </c>
    </row>
    <row r="12" spans="1:7" ht="15" customHeight="1">
      <c r="A12" s="4">
        <v>11</v>
      </c>
      <c r="B12" s="1" t="s">
        <v>17</v>
      </c>
      <c r="C12" s="2">
        <v>9.5409000000000008E-5</v>
      </c>
      <c r="D12" s="3">
        <v>0</v>
      </c>
      <c r="E12" s="3">
        <v>0</v>
      </c>
      <c r="F12" s="3">
        <v>0</v>
      </c>
      <c r="G12" s="5">
        <v>0</v>
      </c>
    </row>
    <row r="13" spans="1:7" ht="15" customHeight="1">
      <c r="A13" s="4">
        <v>12</v>
      </c>
      <c r="B13" s="1" t="s">
        <v>18</v>
      </c>
      <c r="C13" s="2">
        <v>0.22221566299999998</v>
      </c>
      <c r="D13" s="3">
        <v>1.9595399999999999E-2</v>
      </c>
      <c r="E13" s="3">
        <v>0.12</v>
      </c>
      <c r="F13" s="3">
        <v>5.6798000000000001E-2</v>
      </c>
      <c r="G13" s="5">
        <v>9.0258999999999999E-3</v>
      </c>
    </row>
    <row r="14" spans="1:7" ht="15" customHeight="1">
      <c r="A14" s="4">
        <v>13</v>
      </c>
      <c r="B14" s="1" t="s">
        <v>19</v>
      </c>
      <c r="C14" s="2">
        <v>8.8943668010000003</v>
      </c>
      <c r="D14" s="3">
        <v>5.3230683000000001</v>
      </c>
      <c r="E14" s="3">
        <v>0.56723679999999999</v>
      </c>
      <c r="F14" s="3">
        <v>0.44</v>
      </c>
      <c r="G14" s="5">
        <v>0.28999999999999998</v>
      </c>
    </row>
    <row r="15" spans="1:7" ht="15" customHeight="1">
      <c r="A15" s="10">
        <v>14</v>
      </c>
      <c r="B15" s="11" t="s">
        <v>20</v>
      </c>
      <c r="C15" s="12">
        <v>11.24</v>
      </c>
      <c r="D15" s="13">
        <v>0</v>
      </c>
      <c r="E15" s="13">
        <v>0</v>
      </c>
      <c r="F15" s="13">
        <v>0</v>
      </c>
      <c r="G15" s="14">
        <v>1.0000000000000001E-9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56CED-8233-4E32-BEC4-360DD11AF051}">
  <sheetPr codeName="Sheet4"/>
  <dimension ref="A1:G15"/>
  <sheetViews>
    <sheetView showGridLines="0" workbookViewId="0">
      <selection activeCell="C2" sqref="C2"/>
    </sheetView>
  </sheetViews>
  <sheetFormatPr defaultRowHeight="14.25"/>
  <cols>
    <col min="1" max="1" width="17.25" customWidth="1"/>
    <col min="2" max="2" width="14.125" customWidth="1"/>
    <col min="3" max="7" width="17.25" customWidth="1"/>
    <col min="8" max="8" width="5.75" customWidth="1"/>
    <col min="9" max="9" width="5.875" customWidth="1"/>
    <col min="10" max="10" width="6.875" customWidth="1"/>
    <col min="11" max="11" width="4.5" customWidth="1"/>
    <col min="12" max="12" width="4.875" customWidth="1"/>
    <col min="13" max="13" width="7.5" customWidth="1"/>
    <col min="14" max="15" width="6.25" customWidth="1"/>
  </cols>
  <sheetData>
    <row r="1" spans="1:7" ht="15" customHeight="1">
      <c r="A1" s="6" t="s">
        <v>0</v>
      </c>
      <c r="B1" s="7" t="s">
        <v>29</v>
      </c>
      <c r="C1" s="7" t="s">
        <v>2</v>
      </c>
      <c r="D1" s="8" t="s">
        <v>3</v>
      </c>
      <c r="E1" s="8" t="s">
        <v>4</v>
      </c>
      <c r="F1" s="8" t="s">
        <v>5</v>
      </c>
      <c r="G1" s="9" t="s">
        <v>6</v>
      </c>
    </row>
    <row r="2" spans="1:7" ht="15" customHeight="1">
      <c r="A2" s="4">
        <v>1</v>
      </c>
      <c r="B2" s="1" t="s">
        <v>30</v>
      </c>
      <c r="C2" s="2">
        <v>5.4</v>
      </c>
      <c r="D2" s="3">
        <v>3</v>
      </c>
      <c r="E2" s="3">
        <v>1.01</v>
      </c>
      <c r="F2" s="3">
        <v>0.87</v>
      </c>
      <c r="G2" s="5">
        <v>0.52</v>
      </c>
    </row>
    <row r="3" spans="1:7" ht="15" customHeight="1">
      <c r="A3" s="4">
        <v>2</v>
      </c>
      <c r="B3" s="1" t="s">
        <v>31</v>
      </c>
      <c r="C3" s="2">
        <v>5.93</v>
      </c>
      <c r="D3" s="3">
        <v>1.79</v>
      </c>
      <c r="E3" s="3">
        <v>0.85</v>
      </c>
      <c r="F3" s="3">
        <v>1.88</v>
      </c>
      <c r="G3" s="5">
        <v>1.41</v>
      </c>
    </row>
    <row r="4" spans="1:7" ht="15" customHeight="1">
      <c r="A4" s="4">
        <v>3</v>
      </c>
      <c r="B4" s="1" t="s">
        <v>32</v>
      </c>
      <c r="C4" s="2">
        <v>4.96</v>
      </c>
      <c r="D4" s="3">
        <v>0.92</v>
      </c>
      <c r="E4" s="3">
        <v>1.26</v>
      </c>
      <c r="F4" s="3">
        <v>1.49</v>
      </c>
      <c r="G4" s="5">
        <v>1.29</v>
      </c>
    </row>
    <row r="5" spans="1:7" ht="15" customHeight="1">
      <c r="A5" s="4">
        <v>4</v>
      </c>
      <c r="B5" s="1" t="s">
        <v>33</v>
      </c>
      <c r="C5" s="2">
        <v>3.79</v>
      </c>
      <c r="D5" s="3">
        <v>0.75</v>
      </c>
      <c r="E5" s="3">
        <v>0.96</v>
      </c>
      <c r="F5" s="3">
        <v>0.72</v>
      </c>
      <c r="G5" s="5">
        <v>1.36</v>
      </c>
    </row>
    <row r="6" spans="1:7" ht="15" customHeight="1">
      <c r="A6" s="4">
        <v>5</v>
      </c>
      <c r="B6" s="1" t="s">
        <v>34</v>
      </c>
      <c r="C6" s="2">
        <v>4.42</v>
      </c>
      <c r="D6" s="3">
        <v>0.9</v>
      </c>
      <c r="E6" s="3">
        <v>1.84</v>
      </c>
      <c r="F6" s="3">
        <v>0.97</v>
      </c>
      <c r="G6" s="5">
        <v>0.71</v>
      </c>
    </row>
    <row r="7" spans="1:7" ht="15" customHeight="1">
      <c r="A7" s="4">
        <v>6</v>
      </c>
      <c r="B7" s="1" t="s">
        <v>35</v>
      </c>
      <c r="C7" s="2">
        <v>5.9499999999999993</v>
      </c>
      <c r="D7" s="3">
        <v>1.17</v>
      </c>
      <c r="E7" s="3">
        <v>1.43</v>
      </c>
      <c r="F7" s="3">
        <v>1.64</v>
      </c>
      <c r="G7" s="5">
        <v>1.71</v>
      </c>
    </row>
    <row r="8" spans="1:7" ht="15" customHeight="1">
      <c r="A8" s="4">
        <v>7</v>
      </c>
      <c r="B8" s="1" t="s">
        <v>36</v>
      </c>
      <c r="C8" s="2">
        <v>5.14</v>
      </c>
      <c r="D8" s="3">
        <v>1.08</v>
      </c>
      <c r="E8" s="3">
        <v>1.01</v>
      </c>
      <c r="F8" s="3">
        <v>1.97</v>
      </c>
      <c r="G8" s="5">
        <v>1.08</v>
      </c>
    </row>
    <row r="9" spans="1:7" ht="15" customHeight="1">
      <c r="A9" s="4">
        <v>8</v>
      </c>
      <c r="B9" s="1" t="s">
        <v>37</v>
      </c>
      <c r="C9" s="2">
        <v>6.04</v>
      </c>
      <c r="D9" s="3">
        <v>1.81</v>
      </c>
      <c r="E9" s="3">
        <v>1.97</v>
      </c>
      <c r="F9" s="3">
        <v>1.75</v>
      </c>
      <c r="G9" s="5">
        <v>0.51</v>
      </c>
    </row>
    <row r="10" spans="1:7" ht="15" customHeight="1">
      <c r="A10" s="4">
        <v>9</v>
      </c>
      <c r="B10" s="1" t="s">
        <v>38</v>
      </c>
      <c r="C10" s="2">
        <v>4.0999999999999996</v>
      </c>
      <c r="D10" s="3">
        <v>0.77</v>
      </c>
      <c r="E10" s="3">
        <v>1.44</v>
      </c>
      <c r="F10" s="3">
        <v>1.1599999999999999</v>
      </c>
      <c r="G10" s="5">
        <v>0.73</v>
      </c>
    </row>
    <row r="11" spans="1:7" ht="15" customHeight="1">
      <c r="A11" s="4">
        <v>10</v>
      </c>
      <c r="B11" s="1" t="s">
        <v>39</v>
      </c>
      <c r="C11" s="2">
        <v>5.81</v>
      </c>
      <c r="D11" s="3">
        <v>0.74</v>
      </c>
      <c r="E11" s="3">
        <v>1.52</v>
      </c>
      <c r="F11" s="3">
        <v>1.64</v>
      </c>
      <c r="G11" s="5">
        <v>1.91</v>
      </c>
    </row>
    <row r="12" spans="1:7" ht="15" customHeight="1">
      <c r="A12" s="4">
        <v>11</v>
      </c>
      <c r="B12" s="1" t="s">
        <v>40</v>
      </c>
      <c r="C12" s="2">
        <v>5.3100000000000005</v>
      </c>
      <c r="D12" s="3">
        <v>1.48</v>
      </c>
      <c r="E12" s="3">
        <v>1.55</v>
      </c>
      <c r="F12" s="3">
        <v>1.18</v>
      </c>
      <c r="G12" s="5">
        <v>1.1000000000000001</v>
      </c>
    </row>
    <row r="13" spans="1:7" ht="15" customHeight="1">
      <c r="A13" s="4">
        <v>12</v>
      </c>
      <c r="B13" s="1" t="s">
        <v>41</v>
      </c>
      <c r="C13" s="2">
        <v>4.18</v>
      </c>
      <c r="D13" s="3">
        <v>0.62</v>
      </c>
      <c r="E13" s="3">
        <v>0.9</v>
      </c>
      <c r="F13" s="3">
        <v>1.91</v>
      </c>
      <c r="G13" s="5">
        <v>0.75</v>
      </c>
    </row>
    <row r="14" spans="1:7" ht="15" customHeight="1">
      <c r="A14" s="4">
        <v>13</v>
      </c>
      <c r="B14" s="1" t="s">
        <v>42</v>
      </c>
      <c r="C14" s="2">
        <v>3.99</v>
      </c>
      <c r="D14" s="3">
        <v>0.73</v>
      </c>
      <c r="E14" s="3">
        <v>0.94</v>
      </c>
      <c r="F14" s="3">
        <v>1.66</v>
      </c>
      <c r="G14" s="5">
        <v>0.66</v>
      </c>
    </row>
    <row r="15" spans="1:7" ht="15" customHeight="1">
      <c r="A15" s="10">
        <v>14</v>
      </c>
      <c r="B15" s="1" t="s">
        <v>43</v>
      </c>
      <c r="C15" s="2">
        <v>5.7200000000000006</v>
      </c>
      <c r="D15" s="13">
        <v>1.1399999999999999</v>
      </c>
      <c r="E15" s="13">
        <v>1.76</v>
      </c>
      <c r="F15" s="13">
        <v>2</v>
      </c>
      <c r="G15" s="14">
        <v>0.82</v>
      </c>
    </row>
  </sheetData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549DC-0BDC-4D7E-B134-D7039BEB91E2}">
  <sheetPr codeName="Sheet3"/>
  <dimension ref="B3:CF14"/>
  <sheetViews>
    <sheetView showGridLines="0" topLeftCell="R1" workbookViewId="0">
      <selection activeCell="AD6" sqref="AC3:AG9"/>
    </sheetView>
  </sheetViews>
  <sheetFormatPr defaultRowHeight="14.25"/>
  <cols>
    <col min="2" max="2" width="25.75" customWidth="1"/>
    <col min="3" max="6" width="1.875" customWidth="1"/>
    <col min="7" max="7" width="20" customWidth="1"/>
    <col min="8" max="10" width="1.875" customWidth="1"/>
    <col min="11" max="11" width="18.875" customWidth="1"/>
    <col min="12" max="14" width="2.875" customWidth="1"/>
    <col min="15" max="15" width="18" customWidth="1"/>
    <col min="18" max="18" width="15.5" customWidth="1"/>
    <col min="19" max="23" width="1.25" customWidth="1"/>
    <col min="25" max="25" width="14.25" bestFit="1" customWidth="1"/>
    <col min="26" max="26" width="16.25" bestFit="1" customWidth="1"/>
    <col min="29" max="29" width="14.25" bestFit="1" customWidth="1"/>
    <col min="30" max="30" width="21.25" customWidth="1"/>
    <col min="31" max="31" width="23.25" customWidth="1"/>
    <col min="32" max="32" width="23.75" customWidth="1"/>
    <col min="33" max="33" width="22.25" customWidth="1"/>
    <col min="34" max="34" width="28.875" customWidth="1"/>
    <col min="35" max="45" width="1.875" customWidth="1"/>
    <col min="46" max="46" width="23.5" customWidth="1"/>
    <col min="47" max="47" width="21.125" customWidth="1"/>
    <col min="48" max="49" width="8.75" customWidth="1"/>
    <col min="50" max="50" width="21.125" customWidth="1"/>
    <col min="51" max="51" width="3.75" customWidth="1"/>
    <col min="52" max="52" width="21.125" customWidth="1"/>
    <col min="53" max="53" width="8.125" customWidth="1"/>
    <col min="54" max="54" width="21.125" customWidth="1"/>
    <col min="55" max="55" width="5.5" customWidth="1"/>
    <col min="56" max="56" width="21.125" customWidth="1"/>
    <col min="57" max="57" width="7" customWidth="1"/>
    <col min="58" max="58" width="21.125" customWidth="1"/>
    <col min="59" max="65" width="2.75" customWidth="1"/>
    <col min="66" max="66" width="4.75" customWidth="1"/>
    <col min="67" max="67" width="15.75" bestFit="1" customWidth="1"/>
    <col min="68" max="68" width="11.125" bestFit="1" customWidth="1"/>
    <col min="74" max="74" width="16" customWidth="1"/>
    <col min="75" max="75" width="14.75" customWidth="1"/>
    <col min="76" max="76" width="15" customWidth="1"/>
    <col min="77" max="77" width="19.25" customWidth="1"/>
    <col min="83" max="83" width="15.75" customWidth="1"/>
    <col min="84" max="84" width="19.125" customWidth="1"/>
  </cols>
  <sheetData>
    <row r="3" spans="2:84">
      <c r="Y3" s="15" t="s">
        <v>1</v>
      </c>
      <c r="Z3" t="s">
        <v>22</v>
      </c>
      <c r="AC3" s="15" t="s">
        <v>1</v>
      </c>
      <c r="AD3" t="s">
        <v>23</v>
      </c>
      <c r="AE3" t="s">
        <v>24</v>
      </c>
      <c r="AF3" t="s">
        <v>25</v>
      </c>
      <c r="AG3" t="s">
        <v>26</v>
      </c>
      <c r="AT3" s="15" t="s">
        <v>27</v>
      </c>
      <c r="AX3" t="s">
        <v>22</v>
      </c>
      <c r="AZ3" t="s">
        <v>23</v>
      </c>
      <c r="BB3" t="s">
        <v>24</v>
      </c>
      <c r="BD3" t="s">
        <v>25</v>
      </c>
      <c r="BF3" t="s">
        <v>26</v>
      </c>
      <c r="BO3" s="15" t="s">
        <v>29</v>
      </c>
      <c r="BP3" t="s">
        <v>22</v>
      </c>
      <c r="BU3" s="15" t="s">
        <v>29</v>
      </c>
      <c r="BV3" t="s">
        <v>23</v>
      </c>
      <c r="BW3" t="s">
        <v>24</v>
      </c>
      <c r="BX3" t="s">
        <v>25</v>
      </c>
      <c r="BY3" t="s">
        <v>26</v>
      </c>
      <c r="CE3" s="15" t="s">
        <v>27</v>
      </c>
    </row>
    <row r="4" spans="2:84">
      <c r="B4" t="s">
        <v>28</v>
      </c>
      <c r="G4" t="s">
        <v>23</v>
      </c>
      <c r="K4" t="s">
        <v>24</v>
      </c>
      <c r="O4" t="s">
        <v>25</v>
      </c>
      <c r="R4" t="s">
        <v>26</v>
      </c>
      <c r="Y4" t="s">
        <v>13</v>
      </c>
      <c r="Z4" s="16">
        <v>2.4053254E-2</v>
      </c>
      <c r="AC4" t="s">
        <v>7</v>
      </c>
      <c r="AD4" s="17">
        <v>0.15</v>
      </c>
      <c r="AE4" s="17">
        <v>1.1067E-2</v>
      </c>
      <c r="AF4" s="17">
        <v>4.6115299999999998E-2</v>
      </c>
      <c r="AG4" s="17">
        <v>0.2972475</v>
      </c>
      <c r="AT4" t="s">
        <v>23</v>
      </c>
      <c r="AU4" s="17">
        <v>10.7768561</v>
      </c>
      <c r="AV4" s="17"/>
      <c r="AW4" s="17"/>
      <c r="AX4" s="16">
        <v>70.739999999999995</v>
      </c>
      <c r="AZ4" s="17">
        <v>16.900000000000002</v>
      </c>
      <c r="BB4" s="17">
        <v>18.440000000000001</v>
      </c>
      <c r="BD4" s="17">
        <v>20.84</v>
      </c>
      <c r="BF4" s="17">
        <v>14.56</v>
      </c>
      <c r="BI4" s="17"/>
      <c r="BJ4" s="17"/>
      <c r="BK4" s="17"/>
      <c r="BO4" t="s">
        <v>30</v>
      </c>
      <c r="BP4" s="16">
        <v>5.4</v>
      </c>
      <c r="BU4" t="s">
        <v>35</v>
      </c>
      <c r="BV4" s="17">
        <v>1.17</v>
      </c>
      <c r="BW4" s="17">
        <v>1.43</v>
      </c>
      <c r="BX4" s="17">
        <v>1.64</v>
      </c>
      <c r="BY4" s="17">
        <v>1.71</v>
      </c>
      <c r="CE4" t="s">
        <v>24</v>
      </c>
      <c r="CF4" s="17">
        <v>18.440000000000001</v>
      </c>
    </row>
    <row r="5" spans="2:84">
      <c r="B5" s="16">
        <v>16.315842713000002</v>
      </c>
      <c r="G5" s="17">
        <v>10.7768561</v>
      </c>
      <c r="K5" s="17">
        <v>1.8472202999999996</v>
      </c>
      <c r="O5" s="17">
        <v>1.0831607000000001</v>
      </c>
      <c r="R5" s="17">
        <v>1.236311401</v>
      </c>
      <c r="Y5" t="s">
        <v>14</v>
      </c>
      <c r="Z5" s="16">
        <v>3.0869184999999997E-2</v>
      </c>
      <c r="AC5" t="s">
        <v>11</v>
      </c>
      <c r="AD5" s="17">
        <v>0.23727719999999999</v>
      </c>
      <c r="AE5" s="17">
        <v>9.1181100000000001E-2</v>
      </c>
      <c r="AF5" s="17">
        <v>7.7277600000000002E-2</v>
      </c>
      <c r="AG5" s="17">
        <v>0.26</v>
      </c>
      <c r="AT5" t="s">
        <v>26</v>
      </c>
      <c r="AU5" s="17">
        <v>1.236311401</v>
      </c>
      <c r="AV5" s="17"/>
      <c r="AW5" s="17"/>
      <c r="BI5" s="17"/>
      <c r="BJ5" s="17"/>
      <c r="BK5" s="17"/>
      <c r="BO5" t="s">
        <v>39</v>
      </c>
      <c r="BP5" s="16">
        <v>5.81</v>
      </c>
      <c r="BU5" t="s">
        <v>40</v>
      </c>
      <c r="BV5" s="17">
        <v>1.48</v>
      </c>
      <c r="BW5" s="17">
        <v>1.55</v>
      </c>
      <c r="BX5" s="17">
        <v>1.18</v>
      </c>
      <c r="BY5" s="17">
        <v>1.1000000000000001</v>
      </c>
      <c r="CE5" t="s">
        <v>26</v>
      </c>
      <c r="CF5" s="17">
        <v>14.56</v>
      </c>
    </row>
    <row r="6" spans="2:84">
      <c r="Y6" t="s">
        <v>9</v>
      </c>
      <c r="Z6" s="16">
        <v>3.1414640000000001E-2</v>
      </c>
      <c r="AC6" t="s">
        <v>12</v>
      </c>
      <c r="AD6" s="17">
        <v>1.0900628000000001</v>
      </c>
      <c r="AE6" s="17">
        <v>3.76446E-2</v>
      </c>
      <c r="AF6" s="17">
        <v>0.14646400000000001</v>
      </c>
      <c r="AG6" s="17">
        <v>0.1346183</v>
      </c>
      <c r="AT6" t="s">
        <v>25</v>
      </c>
      <c r="AU6" s="17">
        <v>1.0831607000000001</v>
      </c>
      <c r="AV6" s="17"/>
      <c r="AW6" s="17"/>
      <c r="BI6" s="17"/>
      <c r="BJ6" s="17"/>
      <c r="BK6" s="17"/>
      <c r="BO6" t="s">
        <v>40</v>
      </c>
      <c r="BP6" s="16">
        <v>5.3100000000000005</v>
      </c>
      <c r="BU6" t="s">
        <v>31</v>
      </c>
      <c r="BV6" s="17">
        <v>1.79</v>
      </c>
      <c r="BW6" s="17">
        <v>0.85</v>
      </c>
      <c r="BX6" s="17">
        <v>1.88</v>
      </c>
      <c r="BY6" s="17">
        <v>1.41</v>
      </c>
      <c r="CE6" t="s">
        <v>25</v>
      </c>
      <c r="CF6" s="17">
        <v>20.84</v>
      </c>
    </row>
    <row r="7" spans="2:84">
      <c r="Y7" t="s">
        <v>8</v>
      </c>
      <c r="Z7" s="16">
        <v>9.7446077000000006E-2</v>
      </c>
      <c r="AC7" t="s">
        <v>10</v>
      </c>
      <c r="AD7" s="17">
        <v>3.9</v>
      </c>
      <c r="AE7" s="17">
        <v>1.0189693</v>
      </c>
      <c r="AF7" s="17">
        <v>0.30863550000000001</v>
      </c>
      <c r="AG7" s="17">
        <v>0.12974450000000001</v>
      </c>
      <c r="AT7" t="s">
        <v>24</v>
      </c>
      <c r="AU7" s="17">
        <v>1.8472202999999996</v>
      </c>
      <c r="AV7" s="17"/>
      <c r="AW7" s="17"/>
      <c r="BI7" s="17"/>
      <c r="BJ7" s="17"/>
      <c r="BK7" s="17"/>
      <c r="BO7" t="s">
        <v>43</v>
      </c>
      <c r="BP7" s="16">
        <v>5.7200000000000006</v>
      </c>
      <c r="BU7" t="s">
        <v>37</v>
      </c>
      <c r="BV7" s="17">
        <v>1.81</v>
      </c>
      <c r="BW7" s="17">
        <v>1.97</v>
      </c>
      <c r="BX7" s="17">
        <v>1.75</v>
      </c>
      <c r="BY7" s="17">
        <v>0.51</v>
      </c>
      <c r="CE7" t="s">
        <v>23</v>
      </c>
      <c r="CF7" s="17">
        <v>16.900000000000002</v>
      </c>
    </row>
    <row r="8" spans="2:84">
      <c r="Y8" t="s">
        <v>18</v>
      </c>
      <c r="Z8" s="16">
        <v>0.22221566299999998</v>
      </c>
      <c r="AC8" t="s">
        <v>19</v>
      </c>
      <c r="AD8" s="17">
        <v>5.3230683000000001</v>
      </c>
      <c r="AE8" s="17">
        <v>0.56723679999999999</v>
      </c>
      <c r="AF8" s="17">
        <v>0.44</v>
      </c>
      <c r="AG8" s="17">
        <v>0.28999999999999998</v>
      </c>
      <c r="BO8" t="s">
        <v>31</v>
      </c>
      <c r="BP8" s="16">
        <v>5.93</v>
      </c>
      <c r="BU8" t="s">
        <v>30</v>
      </c>
      <c r="BV8" s="17">
        <v>3</v>
      </c>
      <c r="BW8" s="17">
        <v>1.01</v>
      </c>
      <c r="BX8" s="17">
        <v>0.87</v>
      </c>
      <c r="BY8" s="17">
        <v>0.52</v>
      </c>
    </row>
    <row r="9" spans="2:84">
      <c r="Y9" t="s">
        <v>7</v>
      </c>
      <c r="Z9" s="16">
        <v>0.5</v>
      </c>
      <c r="AC9" t="s">
        <v>21</v>
      </c>
      <c r="AD9" s="17">
        <v>10.700408299999999</v>
      </c>
      <c r="AE9" s="17">
        <v>1.7260987999999999</v>
      </c>
      <c r="AF9" s="17">
        <v>1.0184924</v>
      </c>
      <c r="AG9" s="17">
        <v>1.1116102999999999</v>
      </c>
      <c r="BO9" t="s">
        <v>32</v>
      </c>
      <c r="BP9" s="16">
        <v>4.96</v>
      </c>
      <c r="BU9" t="s">
        <v>21</v>
      </c>
      <c r="BV9" s="17">
        <v>9.25</v>
      </c>
      <c r="BW9" s="17">
        <v>6.81</v>
      </c>
      <c r="BX9" s="17">
        <v>7.3199999999999994</v>
      </c>
      <c r="BY9" s="17">
        <v>5.25</v>
      </c>
    </row>
    <row r="10" spans="2:84">
      <c r="Y10" t="s">
        <v>11</v>
      </c>
      <c r="Z10" s="16">
        <v>0.72368731399999997</v>
      </c>
      <c r="BO10" t="s">
        <v>34</v>
      </c>
      <c r="BP10" s="16">
        <v>4.42</v>
      </c>
    </row>
    <row r="11" spans="2:84">
      <c r="Y11" t="s">
        <v>12</v>
      </c>
      <c r="Z11" s="16">
        <v>1.4087898939999999</v>
      </c>
      <c r="BO11" t="s">
        <v>35</v>
      </c>
      <c r="BP11" s="16">
        <v>5.9499999999999993</v>
      </c>
    </row>
    <row r="12" spans="2:84">
      <c r="Y12" t="s">
        <v>10</v>
      </c>
      <c r="Z12" s="16">
        <v>6.3607824090000005</v>
      </c>
      <c r="BO12" t="s">
        <v>36</v>
      </c>
      <c r="BP12" s="16">
        <v>5.14</v>
      </c>
    </row>
    <row r="13" spans="2:84">
      <c r="Y13" t="s">
        <v>19</v>
      </c>
      <c r="Z13" s="16">
        <v>6.8943668010000003</v>
      </c>
      <c r="BO13" t="s">
        <v>37</v>
      </c>
      <c r="BP13" s="16">
        <v>6.04</v>
      </c>
    </row>
    <row r="14" spans="2:84">
      <c r="Y14" t="s">
        <v>21</v>
      </c>
      <c r="Z14" s="16">
        <v>16.293625237000001</v>
      </c>
      <c r="BO14" t="s">
        <v>21</v>
      </c>
      <c r="BP14" s="16">
        <v>54.68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D2A48469787914298E8D9B571D80FB4" ma:contentTypeVersion="14" ma:contentTypeDescription="Create a new document." ma:contentTypeScope="" ma:versionID="f1b0bf464561c416c76f97770acaa477">
  <xsd:schema xmlns:xsd="http://www.w3.org/2001/XMLSchema" xmlns:xs="http://www.w3.org/2001/XMLSchema" xmlns:p="http://schemas.microsoft.com/office/2006/metadata/properties" xmlns:ns2="cb95fa35-ca26-4dfc-8e40-07a073b1500b" xmlns:ns3="5a3063c3-cae7-462f-b223-6f8552c5e585" targetNamespace="http://schemas.microsoft.com/office/2006/metadata/properties" ma:root="true" ma:fieldsID="43cf3e0a044749dd042484d028de991f" ns2:_="" ns3:_="">
    <xsd:import namespace="cb95fa35-ca26-4dfc-8e40-07a073b1500b"/>
    <xsd:import namespace="5a3063c3-cae7-462f-b223-6f8552c5e5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ApprovalAssignedTo" minOccurs="0"/>
                <xsd:element ref="ns2:_ApprovalRespondedBy" minOccurs="0"/>
                <xsd:element ref="ns2:_ApprovalSentBy" minOccurs="0"/>
                <xsd:element ref="ns2:_Approval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95fa35-ca26-4dfc-8e40-07a073b150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b492ee74-ae25-4f8c-8c81-80a21a21df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ApprovalAssignedTo" ma:index="18" nillable="true" ma:displayName="Approvers" ma:list="UserInfo" ma:internalName="_ApprovalAssignedTo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RespondedBy" ma:index="19" nillable="true" ma:displayName="Responses" ma:list="UserInfo" ma:internalName="_ApprovalRespondedBy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entBy" ma:index="20" nillable="true" ma:displayName="Approval Creator" ma:list="UserInfo" ma:internalName="_ApprovalSent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tatus" ma:index="21" nillable="true" ma:displayName="Approval status" ma:internalName="_ApprovalStatu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3063c3-cae7-462f-b223-6f8552c5e58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cdbc493-6e9e-4360-9900-1342648c6223}" ma:internalName="TaxCatchAll" ma:showField="CatchAllData" ma:web="5a3063c3-cae7-462f-b223-6f8552c5e5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95fa35-ca26-4dfc-8e40-07a073b1500b">
      <Terms xmlns="http://schemas.microsoft.com/office/infopath/2007/PartnerControls"/>
    </lcf76f155ced4ddcb4097134ff3c332f>
    <TaxCatchAll xmlns="5a3063c3-cae7-462f-b223-6f8552c5e585" xsi:nil="true"/>
    <_ApprovalAssignedTo xmlns="cb95fa35-ca26-4dfc-8e40-07a073b1500b">
      <UserInfo>
        <DisplayName/>
        <AccountId xsi:nil="true"/>
        <AccountType/>
      </UserInfo>
    </_ApprovalAssignedTo>
    <_ApprovalRespondedBy xmlns="cb95fa35-ca26-4dfc-8e40-07a073b1500b">
      <UserInfo>
        <DisplayName/>
        <AccountId xsi:nil="true"/>
        <AccountType/>
      </UserInfo>
    </_ApprovalRespondedBy>
    <_ApprovalStatus xmlns="cb95fa35-ca26-4dfc-8e40-07a073b1500b">0</_ApprovalStatus>
    <_ApprovalSentBy xmlns="cb95fa35-ca26-4dfc-8e40-07a073b1500b">
      <UserInfo>
        <DisplayName/>
        <AccountId xsi:nil="true"/>
        <AccountType/>
      </UserInfo>
    </_ApprovalSentBy>
  </documentManagement>
</p:properties>
</file>

<file path=customXml/itemProps1.xml><?xml version="1.0" encoding="utf-8"?>
<ds:datastoreItem xmlns:ds="http://schemas.openxmlformats.org/officeDocument/2006/customXml" ds:itemID="{8904E756-5F73-4474-8F9C-77A82CAE4A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95fa35-ca26-4dfc-8e40-07a073b1500b"/>
    <ds:schemaRef ds:uri="5a3063c3-cae7-462f-b223-6f8552c5e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808547-C5AE-4753-9183-C4646DCC33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5FD41F-B954-474B-9827-BC86138D5B38}">
  <ds:schemaRefs>
    <ds:schemaRef ds:uri="http://schemas.microsoft.com/office/2006/metadata/properties"/>
    <ds:schemaRef ds:uri="http://schemas.microsoft.com/office/infopath/2007/PartnerControls"/>
    <ds:schemaRef ds:uri="cb95fa35-ca26-4dfc-8e40-07a073b1500b"/>
    <ds:schemaRef ds:uri="5a3063c3-cae7-462f-b223-6f8552c5e58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Project Data</vt:lpstr>
      <vt:lpstr>Supplier Data</vt:lpstr>
      <vt:lpstr>Support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PK -An Excel Expert</dc:creator>
  <cp:lastModifiedBy>Naresh Kumar V</cp:lastModifiedBy>
  <cp:lastPrinted>2026-03-06T10:35:29Z</cp:lastPrinted>
  <dcterms:created xsi:type="dcterms:W3CDTF">2026-03-01T06:22:17Z</dcterms:created>
  <dcterms:modified xsi:type="dcterms:W3CDTF">2026-09-28T02:28:33Z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0x010100ED2A48469787914298E8D9B571D80FB4</vt:lpwstr>
  </property>
  <property fmtid="{D5CDD505-2E9C-101B-9397-08002B2CF9AE}" pid="3" name="MediaServiceImageTags">
    <vt:lpwstr/>
  </property>
</Properties>
</file>